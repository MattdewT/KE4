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4\"/>
    </mc:Choice>
  </mc:AlternateContent>
  <xr:revisionPtr revIDLastSave="0" documentId="8_{51C21C17-1C8C-4B65-AE7D-9194F1CDC9E2}" xr6:coauthVersionLast="36" xr6:coauthVersionMax="36" xr10:uidLastSave="{00000000-0000-0000-0000-000000000000}"/>
  <workbookProtection lockStructure="1"/>
  <bookViews>
    <workbookView xWindow="0" yWindow="0" windowWidth="28800" windowHeight="14025" tabRatio="383" activeTab="2" xr2:uid="{00000000-000D-0000-FFFF-FFFF00000000}"/>
  </bookViews>
  <sheets>
    <sheet name="10-schra100" sheetId="1" r:id="rId1"/>
    <sheet name="10-schra1" sheetId="2" r:id="rId2"/>
    <sheet name="10-schra2" sheetId="3" r:id="rId3"/>
    <sheet name="modul1" sheetId="4" state="veryHidden" r:id=""/>
  </sheets>
  <calcPr calcId="191029"/>
</workbook>
</file>

<file path=xl/calcChain.xml><?xml version="1.0" encoding="utf-8"?>
<calcChain xmlns="http://schemas.openxmlformats.org/spreadsheetml/2006/main">
  <c r="D147" i="3" l="1"/>
  <c r="D119" i="3"/>
  <c r="D73" i="3"/>
  <c r="D44" i="3"/>
  <c r="D134" i="2"/>
  <c r="D104" i="2"/>
  <c r="D71" i="2"/>
  <c r="D41" i="2"/>
  <c r="D1" i="2" l="1"/>
  <c r="D15" i="2"/>
  <c r="D23" i="2"/>
  <c r="D29" i="2"/>
  <c r="D30" i="2"/>
  <c r="D34" i="2"/>
  <c r="D43" i="2"/>
  <c r="D53" i="2"/>
  <c r="D74" i="2" s="1"/>
  <c r="D55" i="2"/>
  <c r="D76" i="2" s="1"/>
  <c r="D62" i="2"/>
  <c r="D63" i="2"/>
  <c r="D64" i="2"/>
  <c r="D75" i="2"/>
  <c r="D78" i="2"/>
  <c r="D80" i="2"/>
  <c r="D81" i="2"/>
  <c r="D79" i="2" s="1"/>
  <c r="D82" i="2" s="1"/>
  <c r="D88" i="2"/>
  <c r="D101" i="2"/>
  <c r="D107" i="2"/>
  <c r="D112" i="2"/>
  <c r="D114" i="2"/>
  <c r="D123" i="2"/>
  <c r="D128" i="2"/>
  <c r="D138" i="2"/>
  <c r="D1" i="1"/>
  <c r="D1" i="3"/>
  <c r="D15" i="3"/>
  <c r="D16" i="3"/>
  <c r="D18" i="3" s="1"/>
  <c r="D20" i="3"/>
  <c r="D33" i="3"/>
  <c r="D39" i="3"/>
  <c r="D49" i="3"/>
  <c r="D55" i="3"/>
  <c r="D76" i="3" s="1"/>
  <c r="D57" i="3"/>
  <c r="D78" i="3" s="1"/>
  <c r="D64" i="3"/>
  <c r="D65" i="3"/>
  <c r="D66" i="3"/>
  <c r="D77" i="3"/>
  <c r="D80" i="3"/>
  <c r="D82" i="3"/>
  <c r="D81" i="3" s="1"/>
  <c r="D84" i="3" s="1"/>
  <c r="D83" i="3"/>
  <c r="D91" i="3"/>
  <c r="D110" i="3"/>
  <c r="D116" i="3"/>
  <c r="D124" i="3"/>
  <c r="D125" i="3"/>
  <c r="D126" i="3"/>
  <c r="D135" i="3"/>
  <c r="D141" i="3"/>
  <c r="D151" i="3"/>
  <c r="D32" i="2"/>
  <c r="D94" i="3"/>
  <c r="D79" i="3" l="1"/>
  <c r="D87" i="3" s="1"/>
  <c r="D111" i="3" s="1"/>
  <c r="D17" i="3"/>
  <c r="D19" i="3" s="1"/>
  <c r="D40" i="3"/>
  <c r="D41" i="3" s="1"/>
  <c r="D31" i="2"/>
  <c r="D33" i="2" s="1"/>
  <c r="D77" i="2"/>
  <c r="D83" i="2" s="1"/>
  <c r="D47" i="3" l="1"/>
  <c r="D86" i="3"/>
  <c r="D50" i="3"/>
  <c r="D138" i="3"/>
  <c r="D137" i="3" s="1"/>
  <c r="D93" i="3"/>
  <c r="D95" i="3" s="1"/>
  <c r="D114" i="3" s="1"/>
  <c r="D115" i="3" s="1"/>
  <c r="D134" i="3"/>
  <c r="D112" i="3"/>
  <c r="D113" i="3"/>
  <c r="D84" i="2"/>
  <c r="D120" i="3" l="1"/>
  <c r="D127" i="3" s="1"/>
  <c r="D148" i="3"/>
  <c r="D149" i="3" s="1"/>
  <c r="D150" i="3" s="1"/>
  <c r="D152" i="3" s="1"/>
  <c r="D139" i="3"/>
  <c r="D96" i="2"/>
  <c r="D90" i="2"/>
  <c r="D126" i="2"/>
  <c r="D125" i="2" s="1"/>
  <c r="D97" i="2" l="1"/>
  <c r="D122" i="2"/>
  <c r="D95" i="2"/>
  <c r="D99" i="2" s="1"/>
  <c r="D100" i="2" s="1"/>
  <c r="D94" i="2"/>
  <c r="D98" i="2" s="1"/>
  <c r="D105" i="2" l="1"/>
  <c r="D106" i="2" s="1"/>
  <c r="D135" i="2"/>
  <c r="D136" i="2" s="1"/>
  <c r="D137" i="2" s="1"/>
  <c r="D139" i="2" s="1"/>
  <c r="D11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 </author>
  </authors>
  <commentList>
    <comment ref="A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Informationen zu diesem Programm:
Thema:
Systematische Berechnung längsbeanspruchter Schraubenverbindungen.
Hinweis:
Es handelt sich beim Arbeitsblatt 10-schra100 um eine Zusammenfassung der Arbeitsblätter 10-schra10 bis 10-schra40.
Im Teil 1 (10-schra1) kann eine Schraubenverbindung bei gegebener Betriebslängskraft ausgewählt und komplett berechnet werden.
Im Teil 2 (10-schra2) kann eine vorgegebene Schraubenverbindung bei gegebener Betriebslängskraft vollständig überprüft werden.
Abschnitte:
10.11 bis 10.16
Beispiele:
Es gelten die unter den Arbeitsblättern 10-schra10 bis 10-schra40 gemachten 
Anmerkungen.
10.2
10.3
10.4
10.5
10.6
10.7
10.8
10.9
Aufgaben:
Es gelten die unter den Arbeitsblättern 10-schra10 bis 10-schra40 gemachten 
Anmerkungen.
A10.3
A10.4
A10.5, nur Teil 1
A10.6
A10.7
A10.8, Teil 2 bis Teil 8
A10.9, Teil 2 bis Teil 8
A10.10
A10.11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 </author>
  </authors>
  <commentList>
    <comment ref="A1" authorId="0" shapeId="0" xr:uid="{00000000-0006-0000-0100-000001000000}">
      <text>
        <r>
          <rPr>
            <sz val="8"/>
            <color indexed="81"/>
            <rFont val="Tahoma"/>
            <family val="2"/>
          </rPr>
          <t>Informationen zu diesem Programm siehe INFO des Arbeitsblattes 10-schra100 (Zelle A1).</t>
        </r>
      </text>
    </comment>
    <comment ref="B14" authorId="0" shapeId="0" xr:uid="{00000000-0006-0000-0100-000002000000}">
      <text>
        <r>
          <rPr>
            <sz val="8"/>
            <color indexed="81"/>
            <rFont val="Tahoma"/>
            <family val="2"/>
          </rPr>
          <t>siehe ME, Abschnitt 10.16:
Abschätzen der Montagevorspannkraft mit:
F</t>
        </r>
        <r>
          <rPr>
            <vertAlign val="subscript"/>
            <sz val="8"/>
            <color indexed="81"/>
            <rFont val="Tahoma"/>
            <family val="2"/>
          </rPr>
          <t>Mmax,g</t>
        </r>
        <r>
          <rPr>
            <sz val="8"/>
            <color indexed="81"/>
            <rFont val="Tahoma"/>
            <family val="2"/>
          </rPr>
          <t xml:space="preserve"> = 2 ... 3 FA</t>
        </r>
      </text>
    </comment>
    <comment ref="B37" authorId="0" shapeId="0" xr:uid="{00000000-0006-0000-0100-000003000000}">
      <text>
        <r>
          <rPr>
            <sz val="8"/>
            <color indexed="81"/>
            <rFont val="Tahoma"/>
            <family val="2"/>
          </rPr>
          <t xml:space="preserve">siehe ME, Abschnitt 10.3:
Für Berechnungen sind die Mindestwerte maßgebend.
</t>
        </r>
      </text>
    </comment>
    <comment ref="B53" authorId="0" shapeId="0" xr:uid="{00000000-0006-0000-0100-000004000000}">
      <text>
        <r>
          <rPr>
            <sz val="8"/>
            <color indexed="81"/>
            <rFont val="Tahoma"/>
            <family val="2"/>
          </rPr>
          <t>siehe ME, Abschnitt 10.12:
Eine Schraube kann entsprechend ihren verschiedenen Querschnitten bzw. entsprechend ihren verschiedenen Durchmessen d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>, d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>, d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u.s.w.in Einzelelemente der Längen l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>, l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>, l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u.s.w. aufgeteilt werden.
siehe auch Bild 10.29
Beispiel:
d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 xml:space="preserve"> = d    Nenndurchmesser
d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 xml:space="preserve"> =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sz val="8"/>
            <color indexed="81"/>
            <rFont val="Tahoma"/>
            <family val="2"/>
          </rPr>
          <t xml:space="preserve">  Taillendurchmesser
d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= d</t>
        </r>
        <r>
          <rPr>
            <vertAlign val="subscript"/>
            <sz val="8"/>
            <color indexed="81"/>
            <rFont val="Tahoma"/>
            <family val="2"/>
          </rPr>
          <t>K</t>
        </r>
        <r>
          <rPr>
            <sz val="8"/>
            <color indexed="81"/>
            <rFont val="Tahoma"/>
            <family val="2"/>
          </rPr>
          <t xml:space="preserve">  Kerndurchmesser
</t>
        </r>
      </text>
    </comment>
    <comment ref="B56" authorId="0" shapeId="0" xr:uid="{00000000-0006-0000-0100-000005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5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61" authorId="0" shapeId="0" xr:uid="{00000000-0006-0000-0100-000007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115" authorId="0" shapeId="0" xr:uid="{00000000-0006-0000-0100-000008000000}">
      <text>
        <r>
          <rPr>
            <sz val="8"/>
            <color indexed="81"/>
            <rFont val="Tahoma"/>
            <family val="2"/>
          </rPr>
          <t xml:space="preserve">Vergleichen Sie das Ergebnis
mit dem entsprechenden Wert
aus Tab. 10.8 bzw. 10.9.
aber:
gerechnet wird dort mit 0,12
als mittlerer Reibzahl im Gewinde.
</t>
        </r>
      </text>
    </comment>
    <comment ref="B131" authorId="0" shapeId="0" xr:uid="{00000000-0006-0000-0100-000009000000}">
      <text>
        <r>
          <rPr>
            <sz val="8"/>
            <color indexed="81"/>
            <rFont val="Tahoma"/>
            <family val="2"/>
          </rPr>
          <t>Beispiel: 
für eine Lochfase von 0,5 x 45°
ist 0,5 mm einzusetzen</t>
        </r>
      </text>
    </comment>
    <comment ref="B140" authorId="0" shapeId="0" xr:uid="{00000000-0006-0000-0100-00000A000000}">
      <text>
        <r>
          <rPr>
            <sz val="8"/>
            <color indexed="81"/>
            <rFont val="Tahoma"/>
            <family val="2"/>
          </rPr>
          <t xml:space="preserve">siehe ME, Abschnitt 10.15:
Für nicht aufgeführte Bauteilwerkstoffe in Tab. 10.12 kann die zulässige Flächenpressung überschlägig mit dem 1,2-fachen Wert der Streckgrenze gesetzt werden.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 </author>
  </authors>
  <commentList>
    <comment ref="A1" authorId="0" shapeId="0" xr:uid="{00000000-0006-0000-0200-000001000000}">
      <text>
        <r>
          <rPr>
            <sz val="8"/>
            <color indexed="81"/>
            <rFont val="Tahoma"/>
            <family val="2"/>
          </rPr>
          <t>Informationen zu diesem Programm siehe INFO des Arbeitsblattes 10-schra100 (Zelle A1).</t>
        </r>
      </text>
    </comment>
    <comment ref="B23" authorId="0" shapeId="0" xr:uid="{00000000-0006-0000-0200-000002000000}">
      <text>
        <r>
          <rPr>
            <sz val="8"/>
            <color indexed="81"/>
            <rFont val="Tahoma"/>
            <family val="2"/>
          </rPr>
          <t xml:space="preserve">siehe ME, Abschnitt 10.3:
Für Berechnungen sind die Mindestwerte maßgebend.
</t>
        </r>
      </text>
    </comment>
    <comment ref="B24" authorId="0" shapeId="0" xr:uid="{00000000-0006-0000-0200-000003000000}">
      <text>
        <r>
          <rPr>
            <sz val="8"/>
            <color indexed="81"/>
            <rFont val="Tahoma"/>
            <family val="2"/>
          </rPr>
          <t xml:space="preserve">siehe ME, Abschnitt 10.11:
in der Regel 90 %
</t>
        </r>
      </text>
    </comment>
    <comment ref="B26" authorId="0" shapeId="0" xr:uid="{00000000-0006-0000-0200-000004000000}">
      <text>
        <r>
          <rPr>
            <sz val="8"/>
            <color indexed="81"/>
            <rFont val="Tahoma"/>
            <family val="2"/>
          </rPr>
          <t xml:space="preserve">siehe ME, Abschnitt 10.11:
Sind die Reibzahlen für das Gewinde und an der Kopf- bzw. Mutternauflagefläche nicht bekannt, kann überschlägig jeweils mit 0,12 gerechnet werden.
</t>
        </r>
      </text>
    </comment>
    <comment ref="B37" authorId="0" shapeId="0" xr:uid="{00000000-0006-0000-0200-000005000000}">
      <text>
        <r>
          <rPr>
            <sz val="8"/>
            <color indexed="81"/>
            <rFont val="Tahoma"/>
            <family val="2"/>
          </rPr>
          <t xml:space="preserve">Kennziffer für die Beanspruchung:
1 = Zug- und Torsionsbeanspruchung
2 = Zugbeanspruchung
siehe ME, Abschnitt 10.11:
Die Torsionsbeanspruchung im Schraubenbolzen kann vermieden werden, wenn der Bolzen beim Anziehen an einer Drehbewegung gehindert wird, beispielsweise mit einem Schraubenschlüssel.    
Siehe hierzu Bild 10.26 (siehe ME, Abschnitt 10.9).
</t>
        </r>
      </text>
    </comment>
    <comment ref="B41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Vergleichen Sie das Ergebnis
mit dem entsprechenden Wert
aus Tab. 10.8 bzw. 10.9.
</t>
        </r>
      </text>
    </comment>
    <comment ref="B50" authorId="0" shapeId="0" xr:uid="{00000000-0006-0000-0200-000007000000}">
      <text>
        <r>
          <rPr>
            <sz val="8"/>
            <color indexed="81"/>
            <rFont val="Tahoma"/>
            <family val="2"/>
          </rPr>
          <t xml:space="preserve">Vergleichen Sie das Ergebnis
mit dem entsprechenden Wert
aus Tab. 10.8 bzw. 10.9.
aber:
gerechnet wird dort mit 0,12
als mittlerer Reibzahl im Gewinde.
</t>
        </r>
      </text>
    </comment>
    <comment ref="B55" authorId="0" shapeId="0" xr:uid="{00000000-0006-0000-0200-000008000000}">
      <text>
        <r>
          <rPr>
            <sz val="8"/>
            <color indexed="81"/>
            <rFont val="Tahoma"/>
            <family val="2"/>
          </rPr>
          <t>siehe ME, Abschnitt 10.12:
Eine Schraube kann entsprechend ihren verschiedenen Querschnitten bzw. entsprechend ihren verschiedenen Durchmessen d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>, d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>, d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u.s.w.in Einzelelemente der Längen l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>, l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>, l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u.s.w. aufgeteilt werden.
siehe auch Bild 10.29
Beispiel:
d</t>
        </r>
        <r>
          <rPr>
            <vertAlign val="subscript"/>
            <sz val="8"/>
            <color indexed="81"/>
            <rFont val="Tahoma"/>
            <family val="2"/>
          </rPr>
          <t>1E</t>
        </r>
        <r>
          <rPr>
            <sz val="8"/>
            <color indexed="81"/>
            <rFont val="Tahoma"/>
            <family val="2"/>
          </rPr>
          <t xml:space="preserve"> = d    Nenndurchmesser
d</t>
        </r>
        <r>
          <rPr>
            <vertAlign val="subscript"/>
            <sz val="8"/>
            <color indexed="81"/>
            <rFont val="Tahoma"/>
            <family val="2"/>
          </rPr>
          <t>2E</t>
        </r>
        <r>
          <rPr>
            <sz val="8"/>
            <color indexed="81"/>
            <rFont val="Tahoma"/>
            <family val="2"/>
          </rPr>
          <t xml:space="preserve"> =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sz val="8"/>
            <color indexed="81"/>
            <rFont val="Tahoma"/>
            <family val="2"/>
          </rPr>
          <t xml:space="preserve">  Taillendurchmesser
d</t>
        </r>
        <r>
          <rPr>
            <vertAlign val="subscript"/>
            <sz val="8"/>
            <color indexed="81"/>
            <rFont val="Tahoma"/>
            <family val="2"/>
          </rPr>
          <t>3E</t>
        </r>
        <r>
          <rPr>
            <sz val="8"/>
            <color indexed="81"/>
            <rFont val="Tahoma"/>
            <family val="2"/>
          </rPr>
          <t xml:space="preserve"> = d</t>
        </r>
        <r>
          <rPr>
            <vertAlign val="subscript"/>
            <sz val="8"/>
            <color indexed="81"/>
            <rFont val="Tahoma"/>
            <family val="2"/>
          </rPr>
          <t>K</t>
        </r>
        <r>
          <rPr>
            <sz val="8"/>
            <color indexed="81"/>
            <rFont val="Tahoma"/>
            <family val="2"/>
          </rPr>
          <t xml:space="preserve">  Kerndurchmesser
</t>
        </r>
      </text>
    </comment>
    <comment ref="B58" authorId="0" shapeId="0" xr:uid="{00000000-0006-0000-0200-000009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60" authorId="0" shapeId="0" xr:uid="{00000000-0006-0000-0200-00000A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63" authorId="0" shapeId="0" xr:uid="{00000000-0006-0000-0200-00000B000000}">
      <text>
        <r>
          <rPr>
            <sz val="8"/>
            <color indexed="81"/>
            <rFont val="Tahoma"/>
            <family val="2"/>
          </rPr>
          <t xml:space="preserve">siehe ME, Abschnitt 10.12:
Erfahrungsgemäß sind als Ersatzlängen für den Anteil des Schraubenkopfes  0,4 d und für den Gewindekern  0,5 d einzusetzen. Die Verformung der Schrauben- und Muttergewindegänge wird mit der Ersatzlänge 0,4 d erfasst.
siehe auch Bild 10.29
</t>
        </r>
      </text>
    </comment>
    <comment ref="B127" authorId="0" shapeId="0" xr:uid="{00000000-0006-0000-0200-00000C000000}">
      <text>
        <r>
          <rPr>
            <sz val="8"/>
            <color indexed="81"/>
            <rFont val="Tahoma"/>
            <family val="2"/>
          </rPr>
          <t xml:space="preserve">Vergleichen Sie das Ergebnis
mit dem entsprechenden Wert
aus Tab. 10.8 bzw. 10.9.
aber:
gerechnet wird dort mit 0,12
als mittlerer Reibzahl im Gewinde.
</t>
        </r>
      </text>
    </comment>
    <comment ref="B144" authorId="0" shapeId="0" xr:uid="{00000000-0006-0000-0200-00000D000000}">
      <text>
        <r>
          <rPr>
            <sz val="8"/>
            <color indexed="81"/>
            <rFont val="Tahoma"/>
            <family val="2"/>
          </rPr>
          <t>Beispiel: 
für eine Lochfase von 0,5 x 45°
ist 0,5 mm einzusetzen</t>
        </r>
      </text>
    </comment>
    <comment ref="B153" authorId="0" shapeId="0" xr:uid="{00000000-0006-0000-0200-00000E000000}">
      <text>
        <r>
          <rPr>
            <sz val="8"/>
            <color indexed="81"/>
            <rFont val="Tahoma"/>
            <family val="2"/>
          </rPr>
          <t>siehe ME, Abschnitt 10.15:
Für nicht aufgeführte Bauteilwerkstoffe in Tab. 10.12 kann die zulässige Flächenpressung überschlägig mit dem 1,2-fachen Wert der Streckgrenze gesetzt werden.</t>
        </r>
      </text>
    </comment>
  </commentList>
</comments>
</file>

<file path=xl/sharedStrings.xml><?xml version="1.0" encoding="utf-8"?>
<sst xmlns="http://schemas.openxmlformats.org/spreadsheetml/2006/main" count="450" uniqueCount="253">
  <si>
    <t>Datum:</t>
  </si>
  <si>
    <t>Quelle:</t>
  </si>
  <si>
    <t>Kapitel:</t>
  </si>
  <si>
    <t>10 - Befestigungsschrauben</t>
  </si>
  <si>
    <t>Thema:</t>
  </si>
  <si>
    <t>Problem:</t>
  </si>
  <si>
    <t>Sie haben die Wahl:</t>
  </si>
  <si>
    <t>schra1:</t>
  </si>
  <si>
    <t>Soll die Schraubenverbindung bei gegebener Betriebslängskraft berechnet werden?</t>
  </si>
  <si>
    <t>schra2:</t>
  </si>
  <si>
    <t>Soll die Schraubenverbindung bei gegebenen Gewindeabmessungen und bekannter Betriebslängskraft berechnet werden?</t>
  </si>
  <si>
    <t>Längsbeanspruchte Schraubenverbindungen</t>
  </si>
  <si>
    <t xml:space="preserve">Systematische Vorgehensweise in 8 Schritten </t>
  </si>
  <si>
    <t>1. Schritt:</t>
  </si>
  <si>
    <r>
      <t>Kräfte an der Schraubenverbindung</t>
    </r>
    <r>
      <rPr>
        <sz val="10"/>
        <rFont val="Arial"/>
        <family val="2"/>
      </rPr>
      <t>:</t>
    </r>
  </si>
  <si>
    <t>äußere Betriebslängskraft (axiale Betriebskraft)</t>
  </si>
  <si>
    <r>
      <t>F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(kN)</t>
    </r>
  </si>
  <si>
    <t>bei schwingender Betriebslängskraft:</t>
  </si>
  <si>
    <t>Oberkraft des Lastspiels</t>
  </si>
  <si>
    <r>
      <t>F</t>
    </r>
    <r>
      <rPr>
        <vertAlign val="subscript"/>
        <sz val="10"/>
        <rFont val="Arial"/>
        <family val="2"/>
      </rPr>
      <t>Ao</t>
    </r>
    <r>
      <rPr>
        <sz val="10"/>
        <rFont val="Arial"/>
        <family val="2"/>
      </rPr>
      <t xml:space="preserve"> (kN)</t>
    </r>
  </si>
  <si>
    <t>Unterkraft des Lastspiels</t>
  </si>
  <si>
    <r>
      <t>F</t>
    </r>
    <r>
      <rPr>
        <vertAlign val="subscript"/>
        <sz val="10"/>
        <rFont val="Arial"/>
        <family val="2"/>
      </rPr>
      <t>Au</t>
    </r>
    <r>
      <rPr>
        <sz val="10"/>
        <rFont val="Arial"/>
        <family val="2"/>
      </rPr>
      <t xml:space="preserve"> (kN)</t>
    </r>
  </si>
  <si>
    <r>
      <t>Verhältnis  F</t>
    </r>
    <r>
      <rPr>
        <vertAlign val="subscript"/>
        <sz val="10"/>
        <rFont val="Arial"/>
        <family val="2"/>
      </rPr>
      <t>Mmax,g</t>
    </r>
    <r>
      <rPr>
        <sz val="10"/>
        <rFont val="Arial"/>
        <family val="2"/>
      </rPr>
      <t xml:space="preserve"> / F</t>
    </r>
    <r>
      <rPr>
        <vertAlign val="subscript"/>
        <sz val="10"/>
        <rFont val="Arial"/>
        <family val="2"/>
      </rPr>
      <t>A</t>
    </r>
  </si>
  <si>
    <r>
      <t>geschätzte</t>
    </r>
    <r>
      <rPr>
        <sz val="10"/>
        <rFont val="Arial"/>
        <family val="2"/>
      </rPr>
      <t xml:space="preserve"> maximale Montagevorspannkraft</t>
    </r>
  </si>
  <si>
    <r>
      <t>F</t>
    </r>
    <r>
      <rPr>
        <vertAlign val="subscript"/>
        <sz val="10"/>
        <rFont val="Arial"/>
        <family val="2"/>
      </rPr>
      <t>Mmax,g</t>
    </r>
    <r>
      <rPr>
        <sz val="10"/>
        <rFont val="Arial"/>
        <family val="2"/>
      </rPr>
      <t xml:space="preserve"> (kN)</t>
    </r>
  </si>
  <si>
    <r>
      <t>vorläufige Wahl der Schraubengröße</t>
    </r>
    <r>
      <rPr>
        <sz val="10"/>
        <rFont val="Arial"/>
        <family val="2"/>
      </rPr>
      <t>:</t>
    </r>
  </si>
  <si>
    <r>
      <t>F</t>
    </r>
    <r>
      <rPr>
        <vertAlign val="subscript"/>
        <sz val="10"/>
        <rFont val="Arial"/>
        <family val="2"/>
      </rPr>
      <t>Mzul</t>
    </r>
    <r>
      <rPr>
        <sz val="10"/>
        <rFont val="Arial"/>
        <family val="2"/>
      </rPr>
      <t xml:space="preserve"> (kN)</t>
    </r>
  </si>
  <si>
    <r>
      <t>µ</t>
    </r>
    <r>
      <rPr>
        <vertAlign val="subscript"/>
        <sz val="10"/>
        <rFont val="Arial"/>
        <family val="2"/>
      </rPr>
      <t>G</t>
    </r>
  </si>
  <si>
    <t xml:space="preserve">gewählt:      </t>
  </si>
  <si>
    <t>M</t>
  </si>
  <si>
    <t>Gewindenenndurchmesser</t>
  </si>
  <si>
    <t>d (mm)</t>
  </si>
  <si>
    <t>P (mm)</t>
  </si>
  <si>
    <r>
      <t>D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(mm)</t>
    </r>
  </si>
  <si>
    <r>
      <t>D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(mm)</t>
    </r>
  </si>
  <si>
    <r>
      <t>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(mm)</t>
    </r>
  </si>
  <si>
    <r>
      <t>d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(mm)</t>
    </r>
  </si>
  <si>
    <r>
      <t>d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(mm)</t>
    </r>
  </si>
  <si>
    <r>
      <t>A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</si>
  <si>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</si>
  <si>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Festigkeit der Stahlschraube:</t>
  </si>
  <si>
    <r>
      <t>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bzw. R</t>
    </r>
    <r>
      <rPr>
        <vertAlign val="subscript"/>
        <sz val="10"/>
        <rFont val="Arial"/>
        <family val="2"/>
      </rPr>
      <t>p0,2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</si>
  <si>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Ausführung der Schraube:</t>
  </si>
  <si>
    <t>als Schaftschraube (1) oder Taillenschraube (2)</t>
  </si>
  <si>
    <r>
      <t>d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(mm)</t>
    </r>
  </si>
  <si>
    <t>?</t>
  </si>
  <si>
    <r>
      <t>A</t>
    </r>
    <r>
      <rPr>
        <vertAlign val="subscript"/>
        <sz val="10"/>
        <rFont val="Arial"/>
        <family val="2"/>
      </rPr>
      <t xml:space="preserve">T </t>
    </r>
    <r>
      <rPr>
        <sz val="10"/>
        <rFont val="Arial"/>
        <family val="2"/>
      </rPr>
      <t>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</si>
  <si>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2. Schritt:</t>
  </si>
  <si>
    <r>
      <t>a</t>
    </r>
    <r>
      <rPr>
        <vertAlign val="subscript"/>
        <sz val="10"/>
        <rFont val="Arial"/>
        <family val="2"/>
      </rPr>
      <t>A</t>
    </r>
  </si>
  <si>
    <t>3. Schritt:</t>
  </si>
  <si>
    <t>erforderliche Mindestklemmkraft je Schraube               nach den Erfordernissen der Konstruktion</t>
  </si>
  <si>
    <r>
      <t>F</t>
    </r>
    <r>
      <rPr>
        <vertAlign val="subscript"/>
        <sz val="10"/>
        <rFont val="Arial"/>
        <family val="2"/>
      </rPr>
      <t>Kerf</t>
    </r>
    <r>
      <rPr>
        <sz val="10"/>
        <rFont val="Arial"/>
        <family val="2"/>
      </rPr>
      <t xml:space="preserve"> (kN)</t>
    </r>
  </si>
  <si>
    <t>4. Schritt:</t>
  </si>
  <si>
    <r>
      <t>Nachgiebigkeiten von Schraube/Bauteil und Kraftverhältnis</t>
    </r>
    <r>
      <rPr>
        <sz val="10"/>
        <rFont val="Arial"/>
        <family val="2"/>
      </rPr>
      <t>:</t>
    </r>
  </si>
  <si>
    <r>
      <t>d</t>
    </r>
    <r>
      <rPr>
        <vertAlign val="subscript"/>
        <sz val="10"/>
        <rFont val="Arial"/>
        <family val="2"/>
      </rPr>
      <t>2E</t>
    </r>
    <r>
      <rPr>
        <sz val="10"/>
        <rFont val="Arial"/>
        <family val="2"/>
      </rPr>
      <t xml:space="preserve"> (mm)</t>
    </r>
  </si>
  <si>
    <r>
      <t>l</t>
    </r>
    <r>
      <rPr>
        <vertAlign val="subscript"/>
        <sz val="10"/>
        <rFont val="Arial"/>
        <family val="2"/>
      </rPr>
      <t>1E</t>
    </r>
    <r>
      <rPr>
        <sz val="10"/>
        <rFont val="Arial"/>
        <family val="2"/>
      </rPr>
      <t xml:space="preserve"> (mm)</t>
    </r>
  </si>
  <si>
    <t>Länge, Element 2</t>
  </si>
  <si>
    <r>
      <t>l</t>
    </r>
    <r>
      <rPr>
        <vertAlign val="subscript"/>
        <sz val="10"/>
        <rFont val="Arial"/>
        <family val="2"/>
      </rPr>
      <t>2E</t>
    </r>
    <r>
      <rPr>
        <sz val="10"/>
        <rFont val="Arial"/>
        <family val="2"/>
      </rPr>
      <t xml:space="preserve"> (mm)</t>
    </r>
  </si>
  <si>
    <r>
      <t>l</t>
    </r>
    <r>
      <rPr>
        <vertAlign val="subscript"/>
        <sz val="10"/>
        <rFont val="Arial"/>
        <family val="2"/>
      </rPr>
      <t>3E</t>
    </r>
    <r>
      <rPr>
        <sz val="10"/>
        <rFont val="Arial"/>
        <family val="2"/>
      </rPr>
      <t xml:space="preserve"> (mm)</t>
    </r>
  </si>
  <si>
    <t>Klemmlänge der Schraubenverbindung</t>
  </si>
  <si>
    <r>
      <t>L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(mm)</t>
    </r>
  </si>
  <si>
    <t>Kontrolle:</t>
  </si>
  <si>
    <t>für das angeschraubte Bauteil:</t>
  </si>
  <si>
    <r>
      <t>E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(kN/mm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</si>
  <si>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Außendurchmesser bzw. Breite des Bauteils</t>
  </si>
  <si>
    <r>
      <t>D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(mm)</t>
    </r>
  </si>
  <si>
    <t>Sonderfall:</t>
  </si>
  <si>
    <t>Soll die Bauteilnachgiebigkeit überschlägig mit einem Nachgiebigkeitsverhältnis ausgerechnet werden?</t>
  </si>
  <si>
    <t>Annahme: Nachgiebigkeitsverhältnis</t>
  </si>
  <si>
    <r>
      <t>d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d</t>
    </r>
    <r>
      <rPr>
        <vertAlign val="subscript"/>
        <sz val="10"/>
        <rFont val="Arial"/>
        <family val="2"/>
      </rPr>
      <t>S</t>
    </r>
  </si>
  <si>
    <t>Querschnitte der Einzelelemente</t>
  </si>
  <si>
    <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</si>
  <si>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</si>
  <si>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</si>
  <si>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Nachgiebigkeit der Schraube</t>
  </si>
  <si>
    <r>
      <t>d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(10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mm/kN)</t>
    </r>
  </si>
  <si>
    <t>Verhältnis</t>
  </si>
  <si>
    <r>
      <t>D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K</t>
    </r>
  </si>
  <si>
    <t>Ersatzquerschnitt</t>
  </si>
  <si>
    <r>
      <t>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</si>
  <si>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Faktoren für die Ersatzquerschnitt-Berechnung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</si>
  <si>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</si>
  <si>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</si>
  <si>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t>Nachgiebigkeit des Bauteils</t>
  </si>
  <si>
    <r>
      <t>d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(10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mm/kN)</t>
    </r>
  </si>
  <si>
    <r>
      <t>Verlängerung der Schraube</t>
    </r>
    <r>
      <rPr>
        <sz val="10"/>
        <rFont val="Arial"/>
        <family val="2"/>
      </rPr>
      <t xml:space="preserve"> beim Anziehen</t>
    </r>
  </si>
  <si>
    <r>
      <t>f</t>
    </r>
    <r>
      <rPr>
        <vertAlign val="subscript"/>
        <sz val="10"/>
        <rFont val="Arial"/>
        <family val="2"/>
      </rPr>
      <t>SM</t>
    </r>
    <r>
      <rPr>
        <sz val="10"/>
        <rFont val="Arial"/>
        <family val="2"/>
      </rPr>
      <t xml:space="preserve"> (mm</t>
    </r>
    <r>
      <rPr>
        <sz val="10"/>
        <rFont val="Arial"/>
        <family val="2"/>
      </rPr>
      <t>)</t>
    </r>
  </si>
  <si>
    <t>Kraftverhältnis</t>
  </si>
  <si>
    <r>
      <t>F</t>
    </r>
    <r>
      <rPr>
        <vertAlign val="subscript"/>
        <sz val="10"/>
        <rFont val="Arial"/>
        <family val="2"/>
      </rPr>
      <t>K</t>
    </r>
  </si>
  <si>
    <t>5. Schritt:</t>
  </si>
  <si>
    <r>
      <t>Vorspannkraftverlust durch Setzen</t>
    </r>
    <r>
      <rPr>
        <sz val="10"/>
        <rFont val="Arial"/>
        <family val="2"/>
      </rPr>
      <t>:</t>
    </r>
  </si>
  <si>
    <t>Klemmlängenverhältnis</t>
  </si>
  <si>
    <r>
      <t>L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/d </t>
    </r>
  </si>
  <si>
    <r>
      <t>f</t>
    </r>
    <r>
      <rPr>
        <vertAlign val="subscript"/>
        <sz val="10"/>
        <rFont val="Arial"/>
        <family val="2"/>
      </rPr>
      <t>Z</t>
    </r>
    <r>
      <rPr>
        <sz val="10"/>
        <rFont val="Arial"/>
        <family val="2"/>
      </rPr>
      <t xml:space="preserve"> (10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mm)</t>
    </r>
  </si>
  <si>
    <r>
      <t>F</t>
    </r>
    <r>
      <rPr>
        <vertAlign val="subscript"/>
        <sz val="10"/>
        <rFont val="Arial"/>
        <family val="2"/>
      </rPr>
      <t>Z</t>
    </r>
    <r>
      <rPr>
        <sz val="10"/>
        <rFont val="Arial"/>
        <family val="2"/>
      </rPr>
      <t xml:space="preserve"> (kN)</t>
    </r>
  </si>
  <si>
    <t>6. Schritt:</t>
  </si>
  <si>
    <r>
      <t>erforderliche Montagevorspannkraft</t>
    </r>
    <r>
      <rPr>
        <sz val="10"/>
        <rFont val="Arial"/>
        <family val="2"/>
      </rPr>
      <t>:</t>
    </r>
  </si>
  <si>
    <t>mit dem gewählten Klemmlängenfaktor:</t>
  </si>
  <si>
    <t>n</t>
  </si>
  <si>
    <r>
      <t>F</t>
    </r>
    <r>
      <rPr>
        <vertAlign val="subscript"/>
        <sz val="10"/>
        <rFont val="Arial"/>
        <family val="2"/>
      </rPr>
      <t>Vmax,v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</si>
  <si>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Vmin,v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</si>
  <si>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SA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</si>
  <si>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BA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</si>
  <si>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Smax,v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</si>
  <si>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Smin,v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</si>
  <si>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(kN)</t>
    </r>
  </si>
  <si>
    <r>
      <t>erforderliche</t>
    </r>
    <r>
      <rPr>
        <sz val="10"/>
        <rFont val="Arial"/>
        <family val="2"/>
      </rPr>
      <t xml:space="preserve"> Mindestklemmkraft</t>
    </r>
  </si>
  <si>
    <r>
      <t>erforderliche</t>
    </r>
    <r>
      <rPr>
        <sz val="10"/>
        <rFont val="Arial"/>
        <family val="2"/>
      </rPr>
      <t xml:space="preserve"> maximale Montagevorspannkraft</t>
    </r>
  </si>
  <si>
    <r>
      <t>F</t>
    </r>
    <r>
      <rPr>
        <vertAlign val="subscript"/>
        <sz val="10"/>
        <rFont val="Arial"/>
        <family val="2"/>
      </rPr>
      <t>Mmax</t>
    </r>
    <r>
      <rPr>
        <sz val="10"/>
        <rFont val="Arial"/>
        <family val="2"/>
      </rPr>
      <t xml:space="preserve"> (kN)</t>
    </r>
  </si>
  <si>
    <r>
      <t>minimale</t>
    </r>
    <r>
      <rPr>
        <sz val="10"/>
        <rFont val="Arial"/>
        <family val="2"/>
      </rPr>
      <t xml:space="preserve"> Montagevorspannkraft</t>
    </r>
  </si>
  <si>
    <r>
      <t>F</t>
    </r>
    <r>
      <rPr>
        <vertAlign val="subscript"/>
        <sz val="10"/>
        <rFont val="Arial"/>
        <family val="2"/>
      </rPr>
      <t>Mmin</t>
    </r>
    <r>
      <rPr>
        <sz val="10"/>
        <rFont val="Arial"/>
        <family val="2"/>
      </rPr>
      <t xml:space="preserve"> (kN)</t>
    </r>
  </si>
  <si>
    <r>
      <t>zulässige</t>
    </r>
    <r>
      <rPr>
        <sz val="10"/>
        <rFont val="Arial"/>
        <family val="2"/>
      </rPr>
      <t xml:space="preserve"> Montagevorspannkraft</t>
    </r>
  </si>
  <si>
    <t>Ist die erforderliche maximale Montagevorspannkraft kleiner als die zulässige Montagevorspannkraft ?</t>
  </si>
  <si>
    <t>7. Schritt:</t>
  </si>
  <si>
    <r>
      <t>vorzuschreibendes Schraubenanziehmoment</t>
    </r>
    <r>
      <rPr>
        <sz val="10"/>
        <rFont val="Arial"/>
        <family val="2"/>
      </rPr>
      <t>:</t>
    </r>
  </si>
  <si>
    <r>
      <t>µ</t>
    </r>
    <r>
      <rPr>
        <vertAlign val="subscript"/>
        <sz val="10"/>
        <rFont val="Arial"/>
        <family val="2"/>
      </rPr>
      <t>K</t>
    </r>
  </si>
  <si>
    <t>mittlerer Auflageradius</t>
  </si>
  <si>
    <r>
      <t>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 xml:space="preserve"> (mm)</t>
    </r>
  </si>
  <si>
    <t>Schraubenanziehmoment</t>
  </si>
  <si>
    <r>
      <t>M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(Nm)</t>
    </r>
  </si>
  <si>
    <r>
      <t>M</t>
    </r>
    <r>
      <rPr>
        <vertAlign val="subscript"/>
        <sz val="10"/>
        <rFont val="Arial"/>
        <family val="2"/>
      </rPr>
      <t>Azul</t>
    </r>
    <r>
      <rPr>
        <sz val="10"/>
        <rFont val="Arial"/>
        <family val="2"/>
      </rPr>
      <t xml:space="preserve"> (Nm)</t>
    </r>
  </si>
  <si>
    <t>8. Schritt:</t>
  </si>
  <si>
    <r>
      <t>Überprüfung der Haltbarkeit der Schraubenverbindung</t>
    </r>
    <r>
      <rPr>
        <sz val="10"/>
        <rFont val="Arial"/>
        <family val="2"/>
      </rPr>
      <t>:</t>
    </r>
  </si>
  <si>
    <t>Spannungsdifferenz</t>
  </si>
  <si>
    <r>
      <t>s</t>
    </r>
    <r>
      <rPr>
        <vertAlign val="subscript"/>
        <sz val="10"/>
        <rFont val="Arial"/>
        <family val="2"/>
      </rPr>
      <t>sa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</si>
  <si>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Kontrolle 1:</t>
  </si>
  <si>
    <t>Ist die errechnete Spannungsdifferenz kleiner als 10% der Dehngrenze?</t>
  </si>
  <si>
    <r>
      <t>0,1 R</t>
    </r>
    <r>
      <rPr>
        <vertAlign val="subscript"/>
        <sz val="10"/>
        <rFont val="Arial"/>
        <family val="2"/>
      </rPr>
      <t>p0,2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</si>
  <si>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Spannungsausschlag</t>
  </si>
  <si>
    <r>
      <t>s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</si>
  <si>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Kraftamplitude</t>
  </si>
  <si>
    <r>
      <t>F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(N)</t>
    </r>
  </si>
  <si>
    <r>
      <t>s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</si>
  <si>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Kontrolle 2:</t>
  </si>
  <si>
    <t>zul. Spannungsausschlag</t>
  </si>
  <si>
    <r>
      <t>s</t>
    </r>
    <r>
      <rPr>
        <vertAlign val="subscript"/>
        <sz val="10"/>
        <rFont val="Arial"/>
        <family val="2"/>
      </rPr>
      <t>azul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</si>
  <si>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Flächenpressung</t>
  </si>
  <si>
    <t>Lochanfasung</t>
  </si>
  <si>
    <t>(mm)</t>
  </si>
  <si>
    <r>
      <t>F</t>
    </r>
    <r>
      <rPr>
        <vertAlign val="subscript"/>
        <sz val="10"/>
        <rFont val="Arial"/>
        <family val="2"/>
      </rPr>
      <t>Vmax</t>
    </r>
    <r>
      <rPr>
        <sz val="10"/>
        <rFont val="Arial"/>
        <family val="2"/>
      </rPr>
      <t xml:space="preserve"> (kN)</t>
    </r>
  </si>
  <si>
    <r>
      <t>F</t>
    </r>
    <r>
      <rPr>
        <vertAlign val="subscript"/>
        <sz val="10"/>
        <rFont val="Arial"/>
        <family val="2"/>
      </rPr>
      <t>Smax</t>
    </r>
    <r>
      <rPr>
        <sz val="10"/>
        <rFont val="Arial"/>
        <family val="2"/>
      </rPr>
      <t xml:space="preserve"> (kN)</t>
    </r>
  </si>
  <si>
    <r>
      <t>A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</si>
  <si>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Flächenpressung an der Kopfauflagefläche</t>
  </si>
  <si>
    <r>
      <t>p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</si>
  <si>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Kontrolle 3:</t>
  </si>
  <si>
    <r>
      <t>p</t>
    </r>
    <r>
      <rPr>
        <vertAlign val="subscript"/>
        <sz val="10"/>
        <rFont val="Arial"/>
        <family val="2"/>
      </rPr>
      <t>Bzul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</si>
  <si>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Ergebnis:</t>
  </si>
  <si>
    <t xml:space="preserve">Wenn die gewählte Schraube allen Anforderungen genügt und Ihre Festigkeit nicht ausgenutzt wird, ist zu prüfen, ob entweder ein kleineres Gewinde oder aber eine niedrigere Festigkeitsklasse ebenso gewählt werden kann. </t>
  </si>
  <si>
    <r>
      <t>Schraube mit metrischen ISO-Gewinde</t>
    </r>
    <r>
      <rPr>
        <sz val="10"/>
        <rFont val="Arial"/>
        <family val="2"/>
      </rPr>
      <t>:</t>
    </r>
  </si>
  <si>
    <r>
      <t>Wieviel % der Streck- bzw. Dehngrenze                      (R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bzw. R</t>
    </r>
    <r>
      <rPr>
        <vertAlign val="subscript"/>
        <sz val="10"/>
        <rFont val="Arial"/>
        <family val="2"/>
      </rPr>
      <t>p0,2</t>
    </r>
    <r>
      <rPr>
        <sz val="10"/>
        <rFont val="Arial"/>
        <family val="2"/>
      </rPr>
      <t xml:space="preserve">) soll für die Vergleichsspannung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 zugelassen werden?</t>
    </r>
  </si>
  <si>
    <t>(%)</t>
  </si>
  <si>
    <t xml:space="preserve">Wird der Schraubenbolzen beim Anziehen                  auf Torsion beansprucht?      </t>
  </si>
  <si>
    <r>
      <t xml:space="preserve">ja (1)              </t>
    </r>
    <r>
      <rPr>
        <i/>
        <sz val="10"/>
        <rFont val="Arial"/>
        <family val="2"/>
      </rPr>
      <t>oder</t>
    </r>
    <r>
      <rPr>
        <sz val="10"/>
        <rFont val="Arial"/>
        <family val="2"/>
      </rPr>
      <t xml:space="preserve"> nein (2)</t>
    </r>
  </si>
  <si>
    <t>Vergleichsspannung, die beim Anziehen                     zugelassen werden soll</t>
  </si>
  <si>
    <r>
      <t>s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</si>
  <si>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zulässige Montagevorspannung</t>
  </si>
  <si>
    <r>
      <t>s</t>
    </r>
    <r>
      <rPr>
        <vertAlign val="subscript"/>
        <sz val="10"/>
        <rFont val="Arial"/>
        <family val="2"/>
      </rPr>
      <t>Mzul</t>
    </r>
    <r>
      <rPr>
        <sz val="10"/>
        <rFont val="Arial"/>
        <family val="2"/>
      </rPr>
      <t xml:space="preserve"> (N/mm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</si>
  <si>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zulässige Montagevorspannkraft</t>
  </si>
  <si>
    <r>
      <t>F</t>
    </r>
    <r>
      <rPr>
        <vertAlign val="subscript"/>
        <sz val="10"/>
        <rFont val="Arial"/>
        <family val="2"/>
      </rPr>
      <t>Mzul</t>
    </r>
    <r>
      <rPr>
        <sz val="10"/>
        <rFont val="Arial"/>
        <family val="2"/>
      </rPr>
      <t xml:space="preserve"> (kN)</t>
    </r>
  </si>
  <si>
    <t>Soll mit der errechneten zul. Montagevorspannkraft weitergerechnet werden?</t>
  </si>
  <si>
    <r>
      <t>Wenn nein, gewünschten Vorgabewert für F</t>
    </r>
    <r>
      <rPr>
        <vertAlign val="subscript"/>
        <sz val="10"/>
        <rFont val="Arial"/>
        <family val="2"/>
      </rPr>
      <t>Mzul</t>
    </r>
    <r>
      <rPr>
        <sz val="10"/>
        <rFont val="Arial"/>
        <family val="2"/>
      </rPr>
      <t xml:space="preserve"> eingeben!</t>
    </r>
  </si>
  <si>
    <r>
      <t>F</t>
    </r>
    <r>
      <rPr>
        <vertAlign val="subscript"/>
        <sz val="10"/>
        <rFont val="Arial"/>
        <family val="2"/>
      </rPr>
      <t>Mzul,neu</t>
    </r>
    <r>
      <rPr>
        <sz val="10"/>
        <rFont val="Arial"/>
        <family val="2"/>
      </rPr>
      <t xml:space="preserve"> (kN)</t>
    </r>
  </si>
  <si>
    <r>
      <t>min. Montagevorspannkraft  (wenn F</t>
    </r>
    <r>
      <rPr>
        <vertAlign val="subscript"/>
        <sz val="10"/>
        <rFont val="Arial"/>
        <family val="2"/>
      </rPr>
      <t>Mmax</t>
    </r>
    <r>
      <rPr>
        <sz val="10"/>
        <rFont val="Arial"/>
        <family val="2"/>
      </rPr>
      <t xml:space="preserve"> = F</t>
    </r>
    <r>
      <rPr>
        <vertAlign val="subscript"/>
        <sz val="10"/>
        <rFont val="Arial"/>
        <family val="2"/>
      </rPr>
      <t>Mzul</t>
    </r>
    <r>
      <rPr>
        <sz val="10"/>
        <rFont val="Arial"/>
        <family val="2"/>
      </rPr>
      <t>)</t>
    </r>
  </si>
  <si>
    <r>
      <t>Angriffspunkt der äußeren Betriebskraft</t>
    </r>
    <r>
      <rPr>
        <sz val="10"/>
        <rFont val="Arial"/>
        <family val="2"/>
      </rPr>
      <t xml:space="preserve"> F</t>
    </r>
    <r>
      <rPr>
        <vertAlign val="subscript"/>
        <sz val="10"/>
        <rFont val="Arial"/>
        <family val="2"/>
      </rPr>
      <t>A</t>
    </r>
  </si>
  <si>
    <r>
      <t>bei ruhender Betriebskraft</t>
    </r>
    <r>
      <rPr>
        <sz val="10"/>
        <rFont val="Arial"/>
        <family val="2"/>
      </rPr>
      <t>:</t>
    </r>
  </si>
  <si>
    <r>
      <t>erforderliche maximale</t>
    </r>
    <r>
      <rPr>
        <sz val="10"/>
        <rFont val="Arial"/>
        <family val="2"/>
      </rPr>
      <t xml:space="preserve"> Montagevorspannkraft</t>
    </r>
  </si>
  <si>
    <t>Mittelkraft des Lastspiels in der Schraube</t>
  </si>
  <si>
    <r>
      <t>F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 xml:space="preserve"> (kN)</t>
    </r>
  </si>
  <si>
    <t>Die Gewindeabmessungen werden mit der zulässigen Montagevorspannkraft nach Tab. 10.8/9 festgelegt.</t>
  </si>
  <si>
    <r>
      <t>mit der zulässigen Montagevorspannkraft                  (Tab. 10.8/9), wobei vorläufig gilt: F</t>
    </r>
    <r>
      <rPr>
        <vertAlign val="subscript"/>
        <sz val="10"/>
        <rFont val="Arial"/>
        <family val="2"/>
      </rPr>
      <t>Mmax,v</t>
    </r>
    <r>
      <rPr>
        <sz val="10"/>
        <rFont val="Arial"/>
        <family val="2"/>
      </rPr>
      <t xml:space="preserve"> = F</t>
    </r>
    <r>
      <rPr>
        <vertAlign val="subscript"/>
        <sz val="10"/>
        <rFont val="Arial"/>
        <family val="2"/>
      </rPr>
      <t>Mzul</t>
    </r>
  </si>
  <si>
    <t>Streck- bzw. Dehngrenze                                           des Schraubenstahls  (Tab. 10.2)</t>
  </si>
  <si>
    <t>Taillendurchmesser  (Tab. 10.1)</t>
  </si>
  <si>
    <t>Setzbetrag  (Tab. 10.10)</t>
  </si>
  <si>
    <t>zulässiges Schraubenanziehmoment (Tab. 10.8/9)</t>
  </si>
  <si>
    <t>Ist das vorzuschreibende Schraubenanziehmoment kleiner als das zulässige nach Tab. 10.8/9 ?</t>
  </si>
  <si>
    <t>Ausschlagfestigkeit  (Tab. 10.11)</t>
  </si>
  <si>
    <r>
      <t>Abmessungen und Querschnitte für das gewählte Gewinde</t>
    </r>
    <r>
      <rPr>
        <sz val="10"/>
        <rFont val="Arial"/>
        <family val="2"/>
      </rPr>
      <t xml:space="preserve"> (Tab. 10.1):</t>
    </r>
  </si>
  <si>
    <r>
      <t>A</t>
    </r>
    <r>
      <rPr>
        <vertAlign val="subscript"/>
        <sz val="10"/>
        <rFont val="Arial"/>
        <family val="2"/>
      </rPr>
      <t>N</t>
    </r>
    <r>
      <rPr>
        <sz val="10"/>
        <rFont val="Arial"/>
        <family val="2"/>
      </rPr>
      <t xml:space="preserve"> (mm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</si>
  <si>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Richtwert für den Anziehfaktor  (Tab. 10.6)</t>
  </si>
  <si>
    <r>
      <t>d</t>
    </r>
    <r>
      <rPr>
        <vertAlign val="subscript"/>
        <sz val="10"/>
        <rFont val="Arial"/>
        <family val="2"/>
      </rPr>
      <t>1E</t>
    </r>
    <r>
      <rPr>
        <sz val="10"/>
        <rFont val="Arial"/>
        <family val="2"/>
      </rPr>
      <t xml:space="preserve"> = d </t>
    </r>
    <r>
      <rPr>
        <sz val="10"/>
        <rFont val="Arial"/>
        <family val="2"/>
      </rPr>
      <t>(mm)</t>
    </r>
  </si>
  <si>
    <r>
      <t>d</t>
    </r>
    <r>
      <rPr>
        <vertAlign val="subscript"/>
        <sz val="10"/>
        <rFont val="Arial"/>
        <family val="2"/>
      </rPr>
      <t>3E</t>
    </r>
    <r>
      <rPr>
        <sz val="10"/>
        <rFont val="Arial"/>
        <family val="2"/>
      </rPr>
      <t xml:space="preserve"> = d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(mm)</t>
    </r>
  </si>
  <si>
    <r>
      <t>Ersatzlängen</t>
    </r>
    <r>
      <rPr>
        <sz val="10"/>
        <rFont val="Arial"/>
        <family val="2"/>
      </rPr>
      <t xml:space="preserve"> (Erfahrungswerte)</t>
    </r>
  </si>
  <si>
    <r>
      <t>l</t>
    </r>
    <r>
      <rPr>
        <vertAlign val="subscript"/>
        <sz val="10"/>
        <rFont val="Arial"/>
        <family val="2"/>
      </rPr>
      <t xml:space="preserve">K </t>
    </r>
    <r>
      <rPr>
        <sz val="10"/>
        <rFont val="Arial"/>
        <family val="2"/>
      </rPr>
      <t>(mm)</t>
    </r>
  </si>
  <si>
    <r>
      <t>l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(mm)</t>
    </r>
  </si>
  <si>
    <r>
      <t>l</t>
    </r>
    <r>
      <rPr>
        <vertAlign val="subscript"/>
        <sz val="10"/>
        <rFont val="Arial"/>
        <family val="2"/>
      </rPr>
      <t xml:space="preserve">M </t>
    </r>
    <r>
      <rPr>
        <sz val="10"/>
        <rFont val="Arial"/>
        <family val="2"/>
      </rPr>
      <t>(mm)</t>
    </r>
  </si>
  <si>
    <t>Elastizitätsmodul des Bauteilwerkstoffes   (Tab. 9.2)</t>
  </si>
  <si>
    <r>
      <t>d</t>
    </r>
    <r>
      <rPr>
        <vertAlign val="subscript"/>
        <sz val="10"/>
        <rFont val="Arial"/>
        <family val="2"/>
      </rPr>
      <t xml:space="preserve">1E </t>
    </r>
    <r>
      <rPr>
        <sz val="10"/>
        <rFont val="Arial"/>
        <family val="2"/>
      </rPr>
      <t>= d (mm)</t>
    </r>
  </si>
  <si>
    <t>Steigung des Gewindes (Tab. 10.1)</t>
  </si>
  <si>
    <t>Kopf- bzw. Mutternauflagedurchmesser (Tab. 10.4)</t>
  </si>
  <si>
    <t>Durchmesser des Durchgangsloches (Tab. 10.3)</t>
  </si>
  <si>
    <t>Elastizitätsmodul des Bauteilwerkstoffes  (Tab. 9.2)</t>
  </si>
  <si>
    <t>zulässiges Schraubenanziehmoment  (Tab. 10.8/9)</t>
  </si>
  <si>
    <t>Durchmesser, Element 1 (Schaft)</t>
  </si>
  <si>
    <t>Durchmesser, Element 2 (Taille)</t>
  </si>
  <si>
    <t>Durchmesser, Element 3 (Gewindekern)</t>
  </si>
  <si>
    <r>
      <t>Länge, Element 1 (einschl. l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= 0,4 d)</t>
    </r>
  </si>
  <si>
    <r>
      <t>Länge, Element 3 (einschl. l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 xml:space="preserve"> = 0,5 d)</t>
    </r>
  </si>
  <si>
    <t>mit dem gewählten Krafteinleitungsfaktor:</t>
  </si>
  <si>
    <t>Krafteinleitungsfaktor  (Normalfall: n = 0,5)</t>
  </si>
  <si>
    <t>INFO</t>
  </si>
  <si>
    <t>zul. Flächenpressung (Tab. 10.12)</t>
  </si>
  <si>
    <t>Zusammenfassung von schra10 bis schra40</t>
  </si>
  <si>
    <t>Reibzahl im Gewinde</t>
  </si>
  <si>
    <t>Reibzahl an der Auflagefläche</t>
  </si>
  <si>
    <t>Reibzahlen:</t>
  </si>
  <si>
    <t>Reibzahl im Gewinde (Tab. 10.7)</t>
  </si>
  <si>
    <t>Reibzahl an der Auflagefläche (Tab. 10.7)</t>
  </si>
  <si>
    <t>Decker, Maschinenelemente, 20. Auflage</t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</si>
  <si>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Flankendurchmesser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</si>
  <si>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Kerndurchmesser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</si>
  <si>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Spannungsdurchmesser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</si>
  <si>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Kernquerschnitt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</si>
  <si>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Spannungsquerschnitt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</si>
  <si>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Nennquerschnitt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</si>
  <si>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Taillenquerschnitt  (Tab. 10.1)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</si>
  <si>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für den Anteil des Schraubenkopfes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</si>
  <si>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für den Anteil des Gewindekerns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</si>
  <si>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für den Anteil der Verformung von
     </t>
    </r>
    <r>
      <rPr>
        <sz val="10"/>
        <rFont val="Arial"/>
        <family val="2"/>
      </rPr>
      <t>Schrauben- und Muttergewinde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</si>
  <si>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vorläufige max. Vorspannkraft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</si>
  <si>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Differenzkraft in der Schraube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</si>
  <si>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Differenzkraft im Bauteil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</si>
  <si>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vorläufige Größtkraft in der Schraube</t>
    </r>
  </si>
  <si>
    <r>
      <rPr>
        <i/>
        <sz val="10"/>
        <rFont val="Wingdings 3"/>
        <family val="1"/>
        <charset val="2"/>
      </rPr>
      <t>a</t>
    </r>
    <r>
      <rPr>
        <i/>
        <sz val="10"/>
        <rFont val="Arial"/>
        <family val="2"/>
      </rPr>
      <t xml:space="preserve">  errechnete</t>
    </r>
    <r>
      <rPr>
        <sz val="10"/>
        <rFont val="Arial"/>
        <family val="2"/>
      </rPr>
      <t xml:space="preserve"> Restklemmkraft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</si>
  <si>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max. Vorspannkraft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</si>
  <si>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Größtkraft in der Schraube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</si>
  <si>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Flankendurchmesser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</si>
  <si>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Kerndurchmesser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</si>
  <si>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Spannungsdurchmesser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</si>
  <si>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Kernquerschnitt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</si>
  <si>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Spannungsquerschnitt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</si>
  <si>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Nennquerschnitt</t>
    </r>
  </si>
  <si>
    <r>
      <rPr>
        <sz val="10"/>
        <rFont val="Wingdings 3"/>
        <family val="1"/>
        <charset val="2"/>
      </rPr>
      <t xml:space="preserve">a </t>
    </r>
    <r>
      <rPr>
        <sz val="10"/>
        <rFont val="Arial"/>
        <family val="2"/>
      </rPr>
      <t xml:space="preserve"> für den Anteil der Verformung von 
     Schrauben- und Muttergewinde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</si>
  <si>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Vorspannkraftverlust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</si>
  <si>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vorläufige max. Vorspannkraft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</si>
  <si>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vorläufige Größtkraft in der Schraube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</si>
  <si>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Differenzkraft im Bauteil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</si>
  <si>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Differenzkraft in der Schraube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</si>
  <si>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max. Vorspannkraft</t>
    </r>
  </si>
  <si>
    <r>
      <rPr>
        <sz val="10"/>
        <rFont val="Wingdings 3"/>
        <family val="1"/>
        <charset val="2"/>
      </rPr>
      <t>a</t>
    </r>
    <r>
      <rPr>
        <sz val="10"/>
        <rFont val="Arial"/>
        <family val="2"/>
      </rPr>
      <t xml:space="preserve">  Größtkraft in der Schraube</t>
    </r>
  </si>
  <si>
    <t>gepresste Fläche zwischen Schraubenkopf/Bauteil</t>
  </si>
  <si>
    <t>als Schaftschraube oder als Taillenschraube?</t>
  </si>
  <si>
    <t>Schaftschraube</t>
  </si>
  <si>
    <t>nein</t>
  </si>
  <si>
    <r>
      <t>Soll mit der erforderlichen Klemmkraft (F</t>
    </r>
    <r>
      <rPr>
        <vertAlign val="subscript"/>
        <sz val="10"/>
        <rFont val="Arial"/>
        <family val="2"/>
      </rPr>
      <t>Kerf</t>
    </r>
    <r>
      <rPr>
        <sz val="10"/>
        <rFont val="Arial"/>
        <family val="2"/>
      </rPr>
      <t>) oder mit der errechneten Klemmkraft (F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 weitergerechnet werden ?</t>
    </r>
  </si>
  <si>
    <t>erforderliche Klemmkraft</t>
  </si>
  <si>
    <t>ja</t>
  </si>
  <si>
    <t>errechnete Klemmkraft</t>
  </si>
  <si>
    <t>15 klemmlänge, 0,4*20=8=lk</t>
  </si>
  <si>
    <t>????</t>
  </si>
  <si>
    <t>EN GJS 500 7</t>
  </si>
  <si>
    <t>2x Mutter, 1x Gewinde, 1x Trennfuge, für Schub</t>
  </si>
  <si>
    <t>Gewichtskraft???</t>
  </si>
  <si>
    <t>Moment, Gesamtmoment/Hebelarm 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</si>
</sst>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0" x14ac:knownFonts="1">
    <font>
      <sz val="10"/>
      <name val="Arial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u/>
      <sz val="10"/>
      <name val="Arial"/>
      <family val="2"/>
    </font>
    <font>
      <sz val="10"/>
      <name val="Symbol"/>
      <family val="1"/>
      <charset val="2"/>
    </font>
    <font>
      <sz val="12"/>
      <name val="Symbol"/>
      <family val="1"/>
      <charset val="2"/>
    </font>
    <font>
      <u/>
      <sz val="10"/>
      <name val="Arial"/>
      <family val="2"/>
    </font>
    <font>
      <sz val="8"/>
      <color indexed="81"/>
      <name val="Tahoma"/>
      <family val="2"/>
    </font>
    <font>
      <b/>
      <sz val="10"/>
      <color indexed="10"/>
      <name val="Arial"/>
      <family val="2"/>
    </font>
    <font>
      <vertAlign val="subscript"/>
      <sz val="8"/>
      <color indexed="81"/>
      <name val="Tahoma"/>
      <family val="2"/>
    </font>
    <font>
      <sz val="10"/>
      <name val="Wingdings 3"/>
      <family val="1"/>
      <charset val="2"/>
    </font>
    <font>
      <i/>
      <sz val="10"/>
      <name val="Wingdings 3"/>
      <family val="1"/>
      <charset val="2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18"/>
      </left>
      <right style="medium">
        <color indexed="18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/>
      <diagonal/>
    </border>
    <border>
      <left style="medium">
        <color indexed="18"/>
      </left>
      <right style="medium">
        <color indexed="18"/>
      </right>
      <top/>
      <bottom style="medium">
        <color indexed="18"/>
      </bottom>
      <diagonal/>
    </border>
    <border>
      <left style="medium">
        <color indexed="32"/>
      </left>
      <right style="medium">
        <color indexed="32"/>
      </right>
      <top style="medium">
        <color indexed="32"/>
      </top>
      <bottom/>
      <diagonal/>
    </border>
    <border>
      <left style="medium">
        <color indexed="32"/>
      </left>
      <right style="medium">
        <color indexed="32"/>
      </right>
      <top/>
      <bottom/>
      <diagonal/>
    </border>
    <border>
      <left style="medium">
        <color indexed="32"/>
      </left>
      <right style="medium">
        <color indexed="32"/>
      </right>
      <top/>
      <bottom style="medium">
        <color indexed="32"/>
      </bottom>
      <diagonal/>
    </border>
    <border>
      <left style="medium">
        <color indexed="32"/>
      </left>
      <right style="medium">
        <color indexed="32"/>
      </right>
      <top style="medium">
        <color indexed="32"/>
      </top>
      <bottom style="medium">
        <color indexed="32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3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3" fillId="5" borderId="4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 wrapText="1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2" fontId="0" fillId="3" borderId="0" xfId="0" applyNumberFormat="1" applyFill="1" applyAlignment="1" applyProtection="1">
      <alignment horizontal="center" vertical="center"/>
    </xf>
    <xf numFmtId="0" fontId="9" fillId="3" borderId="0" xfId="0" applyFont="1" applyFill="1" applyAlignment="1" applyProtection="1">
      <alignment horizontal="center" vertical="center"/>
    </xf>
    <xf numFmtId="0" fontId="0" fillId="5" borderId="4" xfId="0" applyNumberFormat="1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 wrapText="1"/>
    </xf>
    <xf numFmtId="0" fontId="4" fillId="5" borderId="4" xfId="0" applyNumberFormat="1" applyFont="1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right" vertical="center"/>
    </xf>
    <xf numFmtId="0" fontId="2" fillId="2" borderId="2" xfId="0" applyFont="1" applyFill="1" applyBorder="1" applyAlignment="1">
      <alignment horizontal="center" vertical="center"/>
    </xf>
    <xf numFmtId="0" fontId="3" fillId="5" borderId="6" xfId="0" applyNumberFormat="1" applyFont="1" applyFill="1" applyBorder="1" applyAlignment="1" applyProtection="1">
      <alignment horizontal="center" vertical="center"/>
      <protection locked="0"/>
    </xf>
    <xf numFmtId="0" fontId="3" fillId="5" borderId="5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Border="1" applyAlignment="1" applyProtection="1">
      <alignment horizontal="center" vertical="center"/>
    </xf>
    <xf numFmtId="2" fontId="3" fillId="3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" xfId="0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0" fontId="4" fillId="3" borderId="1" xfId="0" applyFont="1" applyFill="1" applyBorder="1" applyAlignment="1" applyProtection="1">
      <alignment vertical="center"/>
    </xf>
    <xf numFmtId="0" fontId="1" fillId="3" borderId="2" xfId="0" applyFont="1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 wrapText="1"/>
    </xf>
    <xf numFmtId="0" fontId="3" fillId="3" borderId="0" xfId="0" applyFont="1" applyFill="1" applyBorder="1" applyAlignment="1" applyProtection="1">
      <alignment vertical="center"/>
    </xf>
    <xf numFmtId="0" fontId="12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right" vertical="center"/>
    </xf>
    <xf numFmtId="14" fontId="0" fillId="2" borderId="0" xfId="0" applyNumberFormat="1" applyFill="1" applyAlignment="1" applyProtection="1">
      <alignment horizontal="center" vertical="center"/>
    </xf>
    <xf numFmtId="0" fontId="0" fillId="2" borderId="1" xfId="0" applyFill="1" applyBorder="1" applyAlignment="1" applyProtection="1">
      <alignment vertical="center"/>
    </xf>
    <xf numFmtId="0" fontId="0" fillId="2" borderId="0" xfId="0" applyFill="1" applyAlignment="1">
      <alignment vertical="center"/>
    </xf>
    <xf numFmtId="0" fontId="0" fillId="0" borderId="14" xfId="0" applyBorder="1" applyAlignment="1">
      <alignment vertical="center"/>
    </xf>
    <xf numFmtId="0" fontId="0" fillId="2" borderId="2" xfId="0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7" fillId="3" borderId="0" xfId="0" applyFont="1" applyFill="1" applyBorder="1" applyAlignment="1" applyProtection="1">
      <alignment vertical="center"/>
    </xf>
    <xf numFmtId="0" fontId="0" fillId="0" borderId="2" xfId="0" applyBorder="1" applyAlignment="1">
      <alignment vertical="center"/>
    </xf>
    <xf numFmtId="0" fontId="1" fillId="2" borderId="0" xfId="0" applyFont="1" applyFill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 wrapText="1"/>
    </xf>
    <xf numFmtId="0" fontId="4" fillId="3" borderId="0" xfId="0" applyFont="1" applyFill="1" applyAlignment="1" applyProtection="1">
      <alignment vertical="center"/>
    </xf>
    <xf numFmtId="0" fontId="0" fillId="5" borderId="3" xfId="0" applyFill="1" applyBorder="1" applyAlignment="1" applyProtection="1">
      <alignment horizontal="center" vertical="center"/>
      <protection locked="0"/>
    </xf>
    <xf numFmtId="164" fontId="3" fillId="3" borderId="0" xfId="0" applyNumberFormat="1" applyFont="1" applyFill="1" applyAlignment="1" applyProtection="1">
      <alignment horizontal="center" vertical="center"/>
    </xf>
    <xf numFmtId="0" fontId="7" fillId="3" borderId="2" xfId="0" applyFont="1" applyFill="1" applyBorder="1" applyAlignment="1" applyProtection="1">
      <alignment vertical="center"/>
    </xf>
    <xf numFmtId="165" fontId="4" fillId="2" borderId="0" xfId="0" applyNumberFormat="1" applyFont="1" applyFill="1" applyAlignment="1" applyProtection="1">
      <alignment horizontal="center" vertical="center"/>
    </xf>
    <xf numFmtId="2" fontId="4" fillId="2" borderId="0" xfId="0" applyNumberFormat="1" applyFont="1" applyFill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vertical="center" wrapText="1"/>
    </xf>
    <xf numFmtId="0" fontId="8" fillId="3" borderId="0" xfId="0" applyFont="1" applyFill="1" applyAlignment="1" applyProtection="1">
      <alignment horizontal="center" vertical="center"/>
    </xf>
    <xf numFmtId="0" fontId="4" fillId="3" borderId="2" xfId="0" applyFont="1" applyFill="1" applyBorder="1" applyAlignment="1" applyProtection="1">
      <alignment vertical="center"/>
    </xf>
    <xf numFmtId="0" fontId="7" fillId="3" borderId="0" xfId="0" applyFont="1" applyFill="1" applyAlignment="1" applyProtection="1">
      <alignment vertical="center" wrapText="1"/>
    </xf>
    <xf numFmtId="164" fontId="7" fillId="4" borderId="0" xfId="0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2" fontId="0" fillId="2" borderId="0" xfId="0" applyNumberFormat="1" applyFill="1" applyBorder="1" applyAlignment="1" applyProtection="1">
      <alignment horizontal="center" vertical="center"/>
    </xf>
    <xf numFmtId="0" fontId="3" fillId="3" borderId="0" xfId="0" applyFont="1" applyFill="1" applyAlignment="1" applyProtection="1">
      <alignment vertical="center"/>
    </xf>
    <xf numFmtId="164" fontId="0" fillId="2" borderId="0" xfId="0" applyNumberForma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164" fontId="7" fillId="4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vertic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vertical="center" wrapText="1"/>
    </xf>
    <xf numFmtId="0" fontId="4" fillId="2" borderId="0" xfId="0" applyFont="1" applyFill="1" applyAlignment="1" applyProtection="1">
      <alignment vertical="center"/>
    </xf>
    <xf numFmtId="2" fontId="4" fillId="4" borderId="0" xfId="0" applyNumberFormat="1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 wrapText="1"/>
    </xf>
    <xf numFmtId="2" fontId="7" fillId="4" borderId="0" xfId="0" applyNumberFormat="1" applyFont="1" applyFill="1" applyAlignment="1" applyProtection="1">
      <alignment horizontal="center"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2" fontId="7" fillId="4" borderId="0" xfId="0" applyNumberFormat="1" applyFont="1" applyFill="1" applyBorder="1" applyAlignment="1" applyProtection="1">
      <alignment horizontal="center" vertical="center"/>
    </xf>
    <xf numFmtId="2" fontId="4" fillId="4" borderId="0" xfId="0" applyNumberFormat="1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Alignment="1">
      <alignment vertical="center" wrapText="1"/>
    </xf>
    <xf numFmtId="0" fontId="10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2" fontId="0" fillId="4" borderId="0" xfId="0" applyNumberForma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 wrapText="1"/>
    </xf>
    <xf numFmtId="0" fontId="0" fillId="3" borderId="0" xfId="0" applyFill="1" applyBorder="1" applyAlignment="1" applyProtection="1">
      <alignment vertical="center" wrapText="1"/>
    </xf>
    <xf numFmtId="0" fontId="4" fillId="3" borderId="0" xfId="0" applyFont="1" applyFill="1" applyAlignment="1" applyProtection="1">
      <alignment horizontal="center" vertical="center" wrapText="1"/>
    </xf>
    <xf numFmtId="0" fontId="3" fillId="2" borderId="0" xfId="0" applyFont="1" applyFill="1" applyAlignment="1" applyProtection="1">
      <alignment vertical="center" wrapText="1"/>
    </xf>
    <xf numFmtId="0" fontId="0" fillId="0" borderId="13" xfId="0" applyBorder="1" applyAlignment="1">
      <alignment vertical="center"/>
    </xf>
    <xf numFmtId="0" fontId="3" fillId="3" borderId="0" xfId="0" applyFont="1" applyFill="1" applyAlignment="1" applyProtection="1">
      <alignment horizontal="left" vertical="center" wrapText="1"/>
    </xf>
    <xf numFmtId="0" fontId="3" fillId="2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vertical="center" wrapText="1"/>
    </xf>
    <xf numFmtId="0" fontId="3" fillId="2" borderId="0" xfId="0" applyFont="1" applyFill="1" applyAlignment="1">
      <alignment vertical="center"/>
    </xf>
    <xf numFmtId="0" fontId="16" fillId="2" borderId="0" xfId="0" applyNumberFormat="1" applyFont="1" applyFill="1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3" fillId="2" borderId="0" xfId="0" applyFont="1" applyFill="1" applyAlignment="1">
      <alignment vertical="center" wrapText="1"/>
    </xf>
    <xf numFmtId="0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5" borderId="4" xfId="0" applyFont="1" applyFill="1" applyBorder="1" applyAlignment="1" applyProtection="1">
      <alignment horizontal="center" vertical="center"/>
      <protection locked="0"/>
    </xf>
  </cellXfs>
  <cellStyles count="1"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742950</xdr:colOff>
      <xdr:row>2</xdr:row>
      <xdr:rowOff>47625</xdr:rowOff>
    </xdr:from>
    <xdr:to>
      <xdr:col>3</xdr:col>
      <xdr:colOff>790575</xdr:colOff>
      <xdr:row>5</xdr:row>
      <xdr:rowOff>200025</xdr:rowOff>
    </xdr:to>
    <xdr:pic>
      <xdr:nvPicPr>
        <xdr:cNvPr id="1047" name="Picture 13" descr="D:\__STB\stb_xls\Decker16\Icons_2206_03_07\Schraub_01.jpg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38675" y="381000"/>
          <a:ext cx="895350" cy="895350"/>
        </a:xfrm>
        <a:prstGeom prst="rect">
          <a:avLst/>
        </a:prstGeom>
        <a:noFill/>
        <a:ln w="25400">
          <a:solidFill>
            <a:srgbClr val="008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21</xdr:row>
          <xdr:rowOff>47625</xdr:rowOff>
        </xdr:from>
        <xdr:to>
          <xdr:col>2</xdr:col>
          <xdr:colOff>733425</xdr:colOff>
          <xdr:row>21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24</xdr:row>
          <xdr:rowOff>47625</xdr:rowOff>
        </xdr:from>
        <xdr:to>
          <xdr:col>2</xdr:col>
          <xdr:colOff>733425</xdr:colOff>
          <xdr:row>24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ja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38100</xdr:rowOff>
        </xdr:from>
        <xdr:to>
          <xdr:col>1</xdr:col>
          <xdr:colOff>2705100</xdr:colOff>
          <xdr:row>17</xdr:row>
          <xdr:rowOff>28575</xdr:rowOff>
        </xdr:to>
        <xdr:sp macro="" textlink="">
          <xdr:nvSpPr>
            <xdr:cNvPr id="1036" name="Bild 1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28575</xdr:rowOff>
        </xdr:from>
        <xdr:to>
          <xdr:col>3</xdr:col>
          <xdr:colOff>762000</xdr:colOff>
          <xdr:row>4</xdr:row>
          <xdr:rowOff>228600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zurück zur Auswahl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143</xdr:row>
          <xdr:rowOff>28575</xdr:rowOff>
        </xdr:from>
        <xdr:to>
          <xdr:col>3</xdr:col>
          <xdr:colOff>762000</xdr:colOff>
          <xdr:row>143</xdr:row>
          <xdr:rowOff>476250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zurück zur Auswahl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28575</xdr:rowOff>
        </xdr:from>
        <xdr:to>
          <xdr:col>3</xdr:col>
          <xdr:colOff>762000</xdr:colOff>
          <xdr:row>4</xdr:row>
          <xdr:rowOff>228600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zurück zur Auswahl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155</xdr:row>
          <xdr:rowOff>28575</xdr:rowOff>
        </xdr:from>
        <xdr:to>
          <xdr:col>3</xdr:col>
          <xdr:colOff>762000</xdr:colOff>
          <xdr:row>155</xdr:row>
          <xdr:rowOff>476250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zurück zur Auswahl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9"/>
  <sheetViews>
    <sheetView topLeftCell="A3" zoomScale="145" zoomScaleNormal="145" workbookViewId="0">
      <selection activeCell="C11" sqref="C11"/>
    </sheetView>
  </sheetViews>
  <sheetFormatPr baseColWidth="10" defaultRowHeight="12.75" x14ac:dyDescent="0.2"/>
  <cols>
    <col min="1" max="1" width="12.7109375" style="26" customWidth="1"/>
    <col min="2" max="2" width="45.7109375" style="26" customWidth="1"/>
    <col min="3" max="4" width="12.7109375" style="26" customWidth="1"/>
    <col min="5" max="16384" width="11.42578125" style="26"/>
  </cols>
  <sheetData>
    <row r="1" spans="1:4" x14ac:dyDescent="0.2">
      <c r="A1" s="36" t="s">
        <v>199</v>
      </c>
      <c r="B1" s="36"/>
      <c r="C1" s="37" t="s">
        <v>0</v>
      </c>
      <c r="D1" s="38">
        <f ca="1">NOW()</f>
        <v>43846.74245474537</v>
      </c>
    </row>
    <row r="2" spans="1:4" ht="13.5" thickBot="1" x14ac:dyDescent="0.25">
      <c r="A2" s="39"/>
      <c r="B2" s="39"/>
      <c r="C2" s="39"/>
      <c r="D2" s="39"/>
    </row>
    <row r="3" spans="1:4" ht="20.100000000000001" customHeight="1" x14ac:dyDescent="0.2">
      <c r="A3" s="23" t="s">
        <v>1</v>
      </c>
      <c r="B3" s="35" t="s">
        <v>207</v>
      </c>
      <c r="C3" s="25"/>
      <c r="D3" s="25"/>
    </row>
    <row r="4" spans="1:4" ht="20.100000000000001" customHeight="1" x14ac:dyDescent="0.2">
      <c r="A4" s="23" t="s">
        <v>2</v>
      </c>
      <c r="B4" s="26" t="s">
        <v>3</v>
      </c>
      <c r="C4" s="27"/>
      <c r="D4" s="24"/>
    </row>
    <row r="5" spans="1:4" s="40" customFormat="1" ht="20.100000000000001" customHeight="1" x14ac:dyDescent="0.2">
      <c r="A5" s="23" t="s">
        <v>4</v>
      </c>
      <c r="B5" s="28" t="s">
        <v>11</v>
      </c>
      <c r="C5" s="31"/>
      <c r="D5" s="25"/>
    </row>
    <row r="6" spans="1:4" ht="20.100000000000001" customHeight="1" thickBot="1" x14ac:dyDescent="0.25">
      <c r="A6" s="41" t="s">
        <v>5</v>
      </c>
      <c r="B6" s="30" t="s">
        <v>201</v>
      </c>
      <c r="C6" s="32"/>
      <c r="D6" s="30"/>
    </row>
    <row r="7" spans="1:4" x14ac:dyDescent="0.2">
      <c r="A7" s="42"/>
      <c r="B7" s="25"/>
      <c r="C7" s="25"/>
      <c r="D7" s="25"/>
    </row>
    <row r="8" spans="1:4" x14ac:dyDescent="0.2">
      <c r="A8" s="42"/>
      <c r="B8" s="25"/>
      <c r="C8" s="25"/>
      <c r="D8" s="25"/>
    </row>
    <row r="9" spans="1:4" x14ac:dyDescent="0.2">
      <c r="A9" s="42"/>
      <c r="B9" s="25"/>
      <c r="C9" s="25"/>
      <c r="D9" s="25"/>
    </row>
    <row r="10" spans="1:4" x14ac:dyDescent="0.2">
      <c r="A10" s="42"/>
      <c r="B10" s="25"/>
      <c r="C10" s="25"/>
      <c r="D10" s="25"/>
    </row>
    <row r="11" spans="1:4" x14ac:dyDescent="0.2">
      <c r="A11" s="42"/>
      <c r="B11" s="25"/>
      <c r="C11" s="25"/>
      <c r="D11" s="25"/>
    </row>
    <row r="12" spans="1:4" x14ac:dyDescent="0.2">
      <c r="A12" s="42"/>
      <c r="B12" s="25"/>
      <c r="C12" s="25"/>
      <c r="D12" s="25"/>
    </row>
    <row r="13" spans="1:4" x14ac:dyDescent="0.2">
      <c r="A13" s="42"/>
      <c r="B13" s="25"/>
      <c r="C13" s="25"/>
      <c r="D13" s="25"/>
    </row>
    <row r="14" spans="1:4" x14ac:dyDescent="0.2">
      <c r="A14" s="42"/>
      <c r="B14" s="25"/>
      <c r="C14" s="25"/>
      <c r="D14" s="25"/>
    </row>
    <row r="15" spans="1:4" x14ac:dyDescent="0.2">
      <c r="A15" s="42"/>
      <c r="B15" s="25"/>
      <c r="C15" s="25"/>
      <c r="D15" s="25"/>
    </row>
    <row r="16" spans="1:4" x14ac:dyDescent="0.2">
      <c r="A16" s="42"/>
      <c r="B16" s="25"/>
      <c r="C16" s="25"/>
      <c r="D16" s="25"/>
    </row>
    <row r="17" spans="1:4" x14ac:dyDescent="0.2">
      <c r="A17" s="42"/>
      <c r="B17" s="25"/>
      <c r="C17" s="25"/>
      <c r="D17" s="25"/>
    </row>
    <row r="18" spans="1:4" x14ac:dyDescent="0.2">
      <c r="A18" s="42"/>
      <c r="B18" s="25"/>
      <c r="C18" s="25"/>
      <c r="D18" s="25"/>
    </row>
    <row r="19" spans="1:4" x14ac:dyDescent="0.2">
      <c r="A19" s="42"/>
      <c r="B19" s="25"/>
      <c r="C19" s="25"/>
      <c r="D19" s="25"/>
    </row>
    <row r="20" spans="1:4" x14ac:dyDescent="0.2">
      <c r="A20" s="42"/>
      <c r="B20" s="43" t="s">
        <v>6</v>
      </c>
      <c r="C20" s="25"/>
      <c r="D20" s="25"/>
    </row>
    <row r="21" spans="1:4" x14ac:dyDescent="0.2">
      <c r="A21" s="44"/>
      <c r="B21" s="40"/>
      <c r="C21" s="40"/>
      <c r="D21" s="40"/>
    </row>
    <row r="22" spans="1:4" ht="25.5" x14ac:dyDescent="0.2">
      <c r="A22" s="16" t="s">
        <v>7</v>
      </c>
      <c r="B22" s="45" t="s">
        <v>8</v>
      </c>
      <c r="C22" s="40"/>
      <c r="D22" s="40"/>
    </row>
    <row r="23" spans="1:4" ht="38.25" x14ac:dyDescent="0.2">
      <c r="A23" s="16"/>
      <c r="B23" s="45" t="s">
        <v>168</v>
      </c>
      <c r="C23" s="40"/>
      <c r="D23" s="40"/>
    </row>
    <row r="24" spans="1:4" x14ac:dyDescent="0.2">
      <c r="A24" s="44"/>
      <c r="B24" s="40"/>
      <c r="C24" s="40"/>
      <c r="D24" s="40"/>
    </row>
    <row r="25" spans="1:4" ht="38.25" x14ac:dyDescent="0.2">
      <c r="A25" s="16" t="s">
        <v>9</v>
      </c>
      <c r="B25" s="45" t="s">
        <v>10</v>
      </c>
      <c r="C25" s="40"/>
      <c r="D25" s="40"/>
    </row>
    <row r="26" spans="1:4" x14ac:dyDescent="0.2">
      <c r="A26" s="44"/>
      <c r="B26" s="40"/>
      <c r="C26" s="40"/>
      <c r="D26" s="40"/>
    </row>
    <row r="27" spans="1:4" x14ac:dyDescent="0.2">
      <c r="A27" s="44"/>
      <c r="B27" s="40"/>
      <c r="C27" s="40"/>
      <c r="D27" s="40"/>
    </row>
    <row r="28" spans="1:4" x14ac:dyDescent="0.2">
      <c r="A28" s="44"/>
      <c r="B28" s="40"/>
      <c r="C28" s="40"/>
      <c r="D28" s="40"/>
    </row>
    <row r="29" spans="1:4" x14ac:dyDescent="0.2">
      <c r="A29" s="44"/>
      <c r="B29" s="40"/>
      <c r="C29" s="40"/>
      <c r="D29" s="40"/>
    </row>
  </sheetData>
  <phoneticPr fontId="0" type="noConversion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>
    <oddHeader>&amp;C&amp;F</oddHeader>
    <oddFooter>&amp;CSeite &amp;P von &amp;N</oddFooter>
  </headerFooter>
  <drawing r:id="rId2"/>
  <legacyDrawing r:id="rId3"/>
  <oleObjects>
    <mc:AlternateContent xmlns:mc="http://schemas.openxmlformats.org/markup-compatibility/2006">
      <mc:Choice Requires="x14">
        <oleObject progId="AutoCAD" shapeId="1036" r:id="rId4">
          <objectPr defaultSize="0" autoLine="0" autoPict="0" r:id="rId5">
            <anchor moveWithCells="1">
              <from>
                <xdr:col>1</xdr:col>
                <xdr:colOff>142875</xdr:colOff>
                <xdr:row>6</xdr:row>
                <xdr:rowOff>38100</xdr:rowOff>
              </from>
              <to>
                <xdr:col>1</xdr:col>
                <xdr:colOff>2705100</xdr:colOff>
                <xdr:row>17</xdr:row>
                <xdr:rowOff>28575</xdr:rowOff>
              </to>
            </anchor>
          </objectPr>
        </oleObject>
      </mc:Choice>
      <mc:Fallback>
        <oleObject progId="AutoCAD" shapeId="103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autoFill="0" autoLine="0" autoPict="0" macro="[0]!schra1">
                <anchor moveWithCells="1" sizeWithCells="1">
                  <from>
                    <xdr:col>2</xdr:col>
                    <xdr:colOff>104775</xdr:colOff>
                    <xdr:row>21</xdr:row>
                    <xdr:rowOff>47625</xdr:rowOff>
                  </from>
                  <to>
                    <xdr:col>2</xdr:col>
                    <xdr:colOff>733425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autoFill="0" autoLine="0" autoPict="0" macro="[0]!schra2">
                <anchor moveWithCells="1" sizeWithCells="1">
                  <from>
                    <xdr:col>2</xdr:col>
                    <xdr:colOff>104775</xdr:colOff>
                    <xdr:row>24</xdr:row>
                    <xdr:rowOff>47625</xdr:rowOff>
                  </from>
                  <to>
                    <xdr:col>2</xdr:col>
                    <xdr:colOff>733425</xdr:colOff>
                    <xdr:row>24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E145"/>
  <sheetViews>
    <sheetView zoomScaleNormal="100" workbookViewId="0">
      <selection activeCell="D9" sqref="D9"/>
    </sheetView>
  </sheetViews>
  <sheetFormatPr baseColWidth="10" defaultRowHeight="12.75" x14ac:dyDescent="0.2"/>
  <cols>
    <col min="1" max="1" width="12.7109375" style="26" customWidth="1"/>
    <col min="2" max="2" width="45.7109375" style="26" customWidth="1"/>
    <col min="3" max="3" width="12.7109375" style="26" customWidth="1"/>
    <col min="4" max="4" width="16.7109375" style="26" customWidth="1"/>
    <col min="5" max="16384" width="11.42578125" style="26"/>
  </cols>
  <sheetData>
    <row r="1" spans="1:4" x14ac:dyDescent="0.2">
      <c r="A1" s="36" t="s">
        <v>199</v>
      </c>
      <c r="B1" s="36"/>
      <c r="C1" s="37" t="s">
        <v>0</v>
      </c>
      <c r="D1" s="38">
        <f ca="1">NOW()</f>
        <v>43846.74245474537</v>
      </c>
    </row>
    <row r="2" spans="1:4" ht="13.5" thickBot="1" x14ac:dyDescent="0.25">
      <c r="A2" s="39"/>
      <c r="B2" s="39"/>
      <c r="C2" s="39"/>
      <c r="D2" s="39"/>
    </row>
    <row r="3" spans="1:4" ht="20.100000000000001" customHeight="1" x14ac:dyDescent="0.2">
      <c r="A3" s="23" t="s">
        <v>1</v>
      </c>
      <c r="B3" s="35" t="s">
        <v>207</v>
      </c>
      <c r="C3" s="25"/>
      <c r="D3" s="25"/>
    </row>
    <row r="4" spans="1:4" ht="20.100000000000001" customHeight="1" x14ac:dyDescent="0.2">
      <c r="A4" s="23" t="s">
        <v>2</v>
      </c>
      <c r="B4" s="26" t="s">
        <v>3</v>
      </c>
      <c r="C4" s="27"/>
      <c r="D4" s="24"/>
    </row>
    <row r="5" spans="1:4" ht="20.100000000000001" customHeight="1" x14ac:dyDescent="0.2">
      <c r="A5" s="23" t="s">
        <v>4</v>
      </c>
      <c r="B5" s="28" t="s">
        <v>11</v>
      </c>
      <c r="C5" s="27"/>
      <c r="D5" s="24"/>
    </row>
    <row r="6" spans="1:4" ht="20.100000000000001" customHeight="1" thickBot="1" x14ac:dyDescent="0.25">
      <c r="A6" s="29" t="s">
        <v>5</v>
      </c>
      <c r="B6" s="30" t="s">
        <v>12</v>
      </c>
      <c r="C6" s="30"/>
      <c r="D6" s="30"/>
    </row>
    <row r="7" spans="1:4" x14ac:dyDescent="0.2">
      <c r="A7" s="23"/>
      <c r="B7" s="24"/>
      <c r="C7" s="24"/>
      <c r="D7" s="24"/>
    </row>
    <row r="8" spans="1:4" ht="13.5" thickBot="1" x14ac:dyDescent="0.25">
      <c r="A8" s="23" t="s">
        <v>13</v>
      </c>
      <c r="B8" s="46" t="s">
        <v>14</v>
      </c>
      <c r="C8" s="24"/>
      <c r="D8" s="24"/>
    </row>
    <row r="9" spans="1:4" ht="16.5" thickBot="1" x14ac:dyDescent="0.25">
      <c r="A9" s="47"/>
      <c r="B9" s="28" t="s">
        <v>15</v>
      </c>
      <c r="C9" s="1" t="s">
        <v>16</v>
      </c>
      <c r="D9" s="8">
        <v>25</v>
      </c>
    </row>
    <row r="10" spans="1:4" ht="13.5" thickBot="1" x14ac:dyDescent="0.25">
      <c r="A10" s="44"/>
      <c r="B10" s="48" t="s">
        <v>17</v>
      </c>
      <c r="C10" s="21"/>
      <c r="D10" s="2"/>
    </row>
    <row r="11" spans="1:4" ht="15.75" x14ac:dyDescent="0.2">
      <c r="A11" s="44"/>
      <c r="B11" s="49" t="s">
        <v>18</v>
      </c>
      <c r="C11" s="1" t="s">
        <v>19</v>
      </c>
      <c r="D11" s="3">
        <v>25</v>
      </c>
    </row>
    <row r="12" spans="1:4" ht="16.5" thickBot="1" x14ac:dyDescent="0.25">
      <c r="A12" s="44"/>
      <c r="B12" s="49" t="s">
        <v>20</v>
      </c>
      <c r="C12" s="1" t="s">
        <v>21</v>
      </c>
      <c r="D12" s="4">
        <v>0</v>
      </c>
    </row>
    <row r="13" spans="1:4" ht="13.5" thickBot="1" x14ac:dyDescent="0.25">
      <c r="A13" s="44"/>
      <c r="B13" s="49"/>
      <c r="C13" s="1"/>
      <c r="D13" s="2"/>
    </row>
    <row r="14" spans="1:4" ht="16.5" thickBot="1" x14ac:dyDescent="0.25">
      <c r="A14" s="44"/>
      <c r="B14" s="49" t="s">
        <v>22</v>
      </c>
      <c r="C14" s="1"/>
      <c r="D14" s="8">
        <v>2.5</v>
      </c>
    </row>
    <row r="15" spans="1:4" ht="15.75" x14ac:dyDescent="0.2">
      <c r="A15" s="23"/>
      <c r="B15" s="50" t="s">
        <v>23</v>
      </c>
      <c r="C15" s="1" t="s">
        <v>24</v>
      </c>
      <c r="D15" s="2">
        <f>D14*D9</f>
        <v>62.5</v>
      </c>
    </row>
    <row r="16" spans="1:4" x14ac:dyDescent="0.2">
      <c r="A16" s="23"/>
      <c r="B16" s="28"/>
      <c r="C16" s="1"/>
      <c r="D16" s="2"/>
    </row>
    <row r="17" spans="1:4" ht="13.5" thickBot="1" x14ac:dyDescent="0.25">
      <c r="A17" s="23"/>
      <c r="B17" s="51" t="s">
        <v>25</v>
      </c>
      <c r="C17" s="1"/>
      <c r="D17" s="2"/>
    </row>
    <row r="18" spans="1:4" ht="28.5" x14ac:dyDescent="0.2">
      <c r="A18" s="23"/>
      <c r="B18" s="52" t="s">
        <v>169</v>
      </c>
      <c r="C18" s="1" t="s">
        <v>26</v>
      </c>
      <c r="D18" s="3">
        <v>69</v>
      </c>
    </row>
    <row r="19" spans="1:4" ht="16.5" thickBot="1" x14ac:dyDescent="0.25">
      <c r="A19" s="23"/>
      <c r="B19" s="52" t="s">
        <v>202</v>
      </c>
      <c r="C19" s="1" t="s">
        <v>27</v>
      </c>
      <c r="D19" s="4">
        <v>0.12</v>
      </c>
    </row>
    <row r="20" spans="1:4" ht="13.5" thickBot="1" x14ac:dyDescent="0.25">
      <c r="A20" s="23"/>
      <c r="B20" s="52"/>
      <c r="C20" s="1"/>
      <c r="D20" s="2"/>
    </row>
    <row r="21" spans="1:4" ht="13.5" thickBot="1" x14ac:dyDescent="0.25">
      <c r="A21" s="23"/>
      <c r="B21" s="13" t="s">
        <v>28</v>
      </c>
      <c r="C21" s="15" t="s">
        <v>29</v>
      </c>
      <c r="D21" s="12">
        <v>12</v>
      </c>
    </row>
    <row r="22" spans="1:4" x14ac:dyDescent="0.2">
      <c r="A22" s="23"/>
      <c r="B22" s="52"/>
      <c r="C22" s="1"/>
      <c r="D22" s="2"/>
    </row>
    <row r="23" spans="1:4" ht="13.5" thickBot="1" x14ac:dyDescent="0.25">
      <c r="A23" s="23"/>
      <c r="B23" s="28" t="s">
        <v>30</v>
      </c>
      <c r="C23" s="1" t="s">
        <v>31</v>
      </c>
      <c r="D23" s="2">
        <f>D21</f>
        <v>12</v>
      </c>
    </row>
    <row r="24" spans="1:4" x14ac:dyDescent="0.2">
      <c r="A24" s="23"/>
      <c r="B24" s="28" t="s">
        <v>187</v>
      </c>
      <c r="C24" s="1" t="s">
        <v>32</v>
      </c>
      <c r="D24" s="3">
        <v>1.75</v>
      </c>
    </row>
    <row r="25" spans="1:4" ht="15.75" x14ac:dyDescent="0.2">
      <c r="A25" s="23"/>
      <c r="B25" s="53" t="s">
        <v>188</v>
      </c>
      <c r="C25" s="1" t="s">
        <v>33</v>
      </c>
      <c r="D25" s="54">
        <v>18</v>
      </c>
    </row>
    <row r="26" spans="1:4" ht="16.5" thickBot="1" x14ac:dyDescent="0.25">
      <c r="A26" s="23"/>
      <c r="B26" s="28" t="s">
        <v>189</v>
      </c>
      <c r="C26" s="1" t="s">
        <v>34</v>
      </c>
      <c r="D26" s="4">
        <v>13.5</v>
      </c>
    </row>
    <row r="27" spans="1:4" x14ac:dyDescent="0.2">
      <c r="A27" s="23"/>
      <c r="B27" s="28"/>
      <c r="C27" s="1"/>
      <c r="D27" s="2"/>
    </row>
    <row r="28" spans="1:4" x14ac:dyDescent="0.2">
      <c r="A28" s="23"/>
      <c r="B28" s="51" t="s">
        <v>176</v>
      </c>
      <c r="C28" s="1"/>
      <c r="D28" s="2"/>
    </row>
    <row r="29" spans="1:4" ht="15.75" x14ac:dyDescent="0.2">
      <c r="A29" s="47"/>
      <c r="B29" s="69" t="s">
        <v>208</v>
      </c>
      <c r="C29" s="1" t="s">
        <v>35</v>
      </c>
      <c r="D29" s="55">
        <f>D21-0.64952*D24</f>
        <v>10.863340000000001</v>
      </c>
    </row>
    <row r="30" spans="1:4" ht="15.75" x14ac:dyDescent="0.2">
      <c r="A30" s="56"/>
      <c r="B30" s="69" t="s">
        <v>209</v>
      </c>
      <c r="C30" s="1" t="s">
        <v>36</v>
      </c>
      <c r="D30" s="55">
        <f>D21-1.22687*D24</f>
        <v>9.8529774999999997</v>
      </c>
    </row>
    <row r="31" spans="1:4" ht="15.75" x14ac:dyDescent="0.2">
      <c r="A31" s="56"/>
      <c r="B31" s="69" t="s">
        <v>210</v>
      </c>
      <c r="C31" s="1" t="s">
        <v>37</v>
      </c>
      <c r="D31" s="55">
        <f>0.5*(D29+D30)</f>
        <v>10.358158750000001</v>
      </c>
    </row>
    <row r="32" spans="1:4" ht="15.75" x14ac:dyDescent="0.2">
      <c r="A32" s="56"/>
      <c r="B32" s="69" t="s">
        <v>211</v>
      </c>
      <c r="C32" s="1" t="s">
        <v>38</v>
      </c>
      <c r="D32" s="55">
        <f>PI()*D30^2/4</f>
        <v>76.247369174902119</v>
      </c>
    </row>
    <row r="33" spans="1:4" ht="15.75" x14ac:dyDescent="0.2">
      <c r="A33" s="56"/>
      <c r="B33" s="69" t="s">
        <v>212</v>
      </c>
      <c r="C33" s="1" t="s">
        <v>39</v>
      </c>
      <c r="D33" s="55">
        <f>PI()*D31^2/4</f>
        <v>84.266509891128536</v>
      </c>
    </row>
    <row r="34" spans="1:4" ht="15.75" x14ac:dyDescent="0.2">
      <c r="A34" s="56"/>
      <c r="B34" s="69" t="s">
        <v>213</v>
      </c>
      <c r="C34" s="1" t="s">
        <v>177</v>
      </c>
      <c r="D34" s="55">
        <f>PI()*D21^2/4</f>
        <v>113.09733552923255</v>
      </c>
    </row>
    <row r="35" spans="1:4" x14ac:dyDescent="0.2">
      <c r="A35" s="23"/>
      <c r="B35" s="28"/>
      <c r="C35" s="1"/>
      <c r="D35" s="2"/>
    </row>
    <row r="36" spans="1:4" ht="13.5" thickBot="1" x14ac:dyDescent="0.25">
      <c r="A36" s="23"/>
      <c r="B36" s="46" t="s">
        <v>40</v>
      </c>
      <c r="C36" s="1"/>
      <c r="D36" s="2"/>
    </row>
    <row r="37" spans="1:4" ht="30.75" thickBot="1" x14ac:dyDescent="0.25">
      <c r="A37" s="23"/>
      <c r="B37" s="34" t="s">
        <v>170</v>
      </c>
      <c r="C37" s="6" t="s">
        <v>41</v>
      </c>
      <c r="D37" s="5">
        <v>1100</v>
      </c>
    </row>
    <row r="38" spans="1:4" x14ac:dyDescent="0.2">
      <c r="A38" s="23"/>
      <c r="B38" s="28"/>
      <c r="C38" s="1"/>
      <c r="D38" s="2"/>
    </row>
    <row r="39" spans="1:4" ht="13.5" thickBot="1" x14ac:dyDescent="0.25">
      <c r="A39" s="23"/>
      <c r="B39" s="51" t="s">
        <v>42</v>
      </c>
      <c r="C39" s="1"/>
      <c r="D39" s="2"/>
    </row>
    <row r="40" spans="1:4" ht="15.75" customHeight="1" thickBot="1" x14ac:dyDescent="0.25">
      <c r="A40" s="23"/>
      <c r="B40" s="101" t="s">
        <v>240</v>
      </c>
      <c r="C40" s="13"/>
      <c r="D40" s="8" t="s">
        <v>241</v>
      </c>
    </row>
    <row r="41" spans="1:4" s="103" customFormat="1" ht="13.5" thickBot="1" x14ac:dyDescent="0.25">
      <c r="A41" s="23"/>
      <c r="B41" s="28"/>
      <c r="C41" s="1"/>
      <c r="D41" s="102">
        <f>IF(D40="Schaftschraube",1,IF(D40="Taillenschraube",2,0))</f>
        <v>1</v>
      </c>
    </row>
    <row r="42" spans="1:4" ht="16.5" thickBot="1" x14ac:dyDescent="0.25">
      <c r="A42" s="23"/>
      <c r="B42" s="28" t="s">
        <v>171</v>
      </c>
      <c r="C42" s="1" t="s">
        <v>44</v>
      </c>
      <c r="D42" s="8" t="s">
        <v>45</v>
      </c>
    </row>
    <row r="43" spans="1:4" ht="15.75" x14ac:dyDescent="0.2">
      <c r="A43" s="23"/>
      <c r="B43" s="69" t="s">
        <v>214</v>
      </c>
      <c r="C43" s="1" t="s">
        <v>46</v>
      </c>
      <c r="D43" s="57" t="e">
        <f>PI()*D42^2/4</f>
        <v>#VALUE!</v>
      </c>
    </row>
    <row r="44" spans="1:4" x14ac:dyDescent="0.2">
      <c r="A44" s="23"/>
      <c r="B44" s="28"/>
      <c r="C44" s="1"/>
      <c r="D44" s="58"/>
    </row>
    <row r="45" spans="1:4" ht="13.5" thickBot="1" x14ac:dyDescent="0.25">
      <c r="A45" s="23"/>
      <c r="B45" s="52"/>
      <c r="C45" s="1"/>
      <c r="D45" s="2"/>
    </row>
    <row r="46" spans="1:4" ht="16.5" thickBot="1" x14ac:dyDescent="0.25">
      <c r="A46" s="23" t="s">
        <v>47</v>
      </c>
      <c r="B46" s="53" t="s">
        <v>178</v>
      </c>
      <c r="C46" s="10" t="s">
        <v>48</v>
      </c>
      <c r="D46" s="8">
        <v>1.6</v>
      </c>
    </row>
    <row r="47" spans="1:4" x14ac:dyDescent="0.2">
      <c r="A47" s="23"/>
      <c r="B47" s="28"/>
      <c r="C47" s="1"/>
      <c r="D47" s="2"/>
    </row>
    <row r="48" spans="1:4" ht="13.5" thickBot="1" x14ac:dyDescent="0.25">
      <c r="A48" s="23"/>
      <c r="B48" s="28"/>
      <c r="C48" s="28"/>
      <c r="D48" s="28"/>
    </row>
    <row r="49" spans="1:4" ht="26.25" thickBot="1" x14ac:dyDescent="0.25">
      <c r="A49" s="23" t="s">
        <v>49</v>
      </c>
      <c r="B49" s="52" t="s">
        <v>50</v>
      </c>
      <c r="C49" s="1" t="s">
        <v>51</v>
      </c>
      <c r="D49" s="8">
        <v>2.9</v>
      </c>
    </row>
    <row r="50" spans="1:4" x14ac:dyDescent="0.2">
      <c r="A50" s="23"/>
      <c r="B50" s="28"/>
      <c r="C50" s="28"/>
      <c r="D50" s="28"/>
    </row>
    <row r="51" spans="1:4" x14ac:dyDescent="0.2">
      <c r="A51" s="23"/>
      <c r="B51" s="28"/>
      <c r="C51" s="28"/>
      <c r="D51" s="28"/>
    </row>
    <row r="52" spans="1:4" x14ac:dyDescent="0.2">
      <c r="A52" s="23" t="s">
        <v>52</v>
      </c>
      <c r="B52" s="51" t="s">
        <v>53</v>
      </c>
      <c r="C52" s="28"/>
      <c r="D52" s="28"/>
    </row>
    <row r="53" spans="1:4" ht="16.5" thickBot="1" x14ac:dyDescent="0.25">
      <c r="A53" s="23"/>
      <c r="B53" s="28" t="s">
        <v>192</v>
      </c>
      <c r="C53" s="1" t="s">
        <v>179</v>
      </c>
      <c r="D53" s="2">
        <f>D21</f>
        <v>12</v>
      </c>
    </row>
    <row r="54" spans="1:4" ht="16.5" thickBot="1" x14ac:dyDescent="0.25">
      <c r="A54" s="23"/>
      <c r="B54" s="28" t="s">
        <v>193</v>
      </c>
      <c r="C54" s="1" t="s">
        <v>54</v>
      </c>
      <c r="D54" s="59">
        <v>0</v>
      </c>
    </row>
    <row r="55" spans="1:4" ht="16.5" thickBot="1" x14ac:dyDescent="0.25">
      <c r="A55" s="23"/>
      <c r="B55" s="28" t="s">
        <v>194</v>
      </c>
      <c r="C55" s="1" t="s">
        <v>180</v>
      </c>
      <c r="D55" s="55">
        <f>D21-1.22687*D24</f>
        <v>9.8529774999999997</v>
      </c>
    </row>
    <row r="56" spans="1:4" ht="15.75" x14ac:dyDescent="0.2">
      <c r="A56" s="23"/>
      <c r="B56" s="28" t="s">
        <v>195</v>
      </c>
      <c r="C56" s="1" t="s">
        <v>55</v>
      </c>
      <c r="D56" s="7">
        <v>35</v>
      </c>
    </row>
    <row r="57" spans="1:4" ht="15.75" x14ac:dyDescent="0.2">
      <c r="A57" s="23"/>
      <c r="B57" s="28" t="s">
        <v>56</v>
      </c>
      <c r="C57" s="1" t="s">
        <v>57</v>
      </c>
      <c r="D57" s="60">
        <v>0</v>
      </c>
    </row>
    <row r="58" spans="1:4" ht="15.75" x14ac:dyDescent="0.2">
      <c r="A58" s="23"/>
      <c r="B58" s="28" t="s">
        <v>196</v>
      </c>
      <c r="C58" s="1" t="s">
        <v>58</v>
      </c>
      <c r="D58" s="60">
        <v>17</v>
      </c>
    </row>
    <row r="59" spans="1:4" ht="16.5" thickBot="1" x14ac:dyDescent="0.25">
      <c r="A59" s="23"/>
      <c r="B59" s="28" t="s">
        <v>59</v>
      </c>
      <c r="C59" s="1" t="s">
        <v>60</v>
      </c>
      <c r="D59" s="22">
        <v>42</v>
      </c>
    </row>
    <row r="60" spans="1:4" x14ac:dyDescent="0.2">
      <c r="A60" s="23"/>
      <c r="B60" s="28"/>
      <c r="C60" s="1"/>
      <c r="D60" s="2"/>
    </row>
    <row r="61" spans="1:4" ht="14.1" customHeight="1" x14ac:dyDescent="0.2">
      <c r="A61" s="23"/>
      <c r="B61" s="51" t="s">
        <v>181</v>
      </c>
      <c r="C61" s="1"/>
      <c r="D61" s="2"/>
    </row>
    <row r="62" spans="1:4" ht="16.5" customHeight="1" x14ac:dyDescent="0.2">
      <c r="A62" s="23"/>
      <c r="B62" s="69" t="s">
        <v>215</v>
      </c>
      <c r="C62" s="6" t="s">
        <v>182</v>
      </c>
      <c r="D62" s="2">
        <f>0.4*D21</f>
        <v>4.8000000000000007</v>
      </c>
    </row>
    <row r="63" spans="1:4" ht="16.5" customHeight="1" x14ac:dyDescent="0.2">
      <c r="A63" s="23"/>
      <c r="B63" s="69" t="s">
        <v>216</v>
      </c>
      <c r="C63" s="6" t="s">
        <v>183</v>
      </c>
      <c r="D63" s="2">
        <f>0.5*D21</f>
        <v>6</v>
      </c>
    </row>
    <row r="64" spans="1:4" ht="25.5" x14ac:dyDescent="0.2">
      <c r="A64" s="33"/>
      <c r="B64" s="98" t="s">
        <v>217</v>
      </c>
      <c r="C64" s="6" t="s">
        <v>184</v>
      </c>
      <c r="D64" s="2">
        <f>0.4*D21</f>
        <v>4.8000000000000007</v>
      </c>
    </row>
    <row r="65" spans="1:4" x14ac:dyDescent="0.2">
      <c r="A65" s="23"/>
      <c r="B65" s="28"/>
      <c r="C65" s="1"/>
      <c r="D65" s="2"/>
    </row>
    <row r="66" spans="1:4" ht="13.5" thickBot="1" x14ac:dyDescent="0.25">
      <c r="A66" s="61"/>
      <c r="B66" s="51" t="s">
        <v>62</v>
      </c>
      <c r="C66" s="1"/>
      <c r="D66" s="2"/>
    </row>
    <row r="67" spans="1:4" ht="15.75" x14ac:dyDescent="0.2">
      <c r="A67" s="23"/>
      <c r="B67" s="28" t="s">
        <v>190</v>
      </c>
      <c r="C67" s="1" t="s">
        <v>63</v>
      </c>
      <c r="D67" s="7">
        <v>210</v>
      </c>
    </row>
    <row r="68" spans="1:4" ht="16.5" thickBot="1" x14ac:dyDescent="0.25">
      <c r="A68" s="23"/>
      <c r="B68" s="28" t="s">
        <v>64</v>
      </c>
      <c r="C68" s="1" t="s">
        <v>65</v>
      </c>
      <c r="D68" s="22">
        <v>80</v>
      </c>
    </row>
    <row r="69" spans="1:4" ht="13.5" thickBot="1" x14ac:dyDescent="0.25">
      <c r="A69" s="23"/>
      <c r="B69" s="28"/>
      <c r="C69" s="1"/>
      <c r="D69" s="2"/>
    </row>
    <row r="70" spans="1:4" ht="32.1" customHeight="1" thickBot="1" x14ac:dyDescent="0.25">
      <c r="A70" s="33" t="s">
        <v>66</v>
      </c>
      <c r="B70" s="62" t="s">
        <v>67</v>
      </c>
      <c r="C70" s="13"/>
      <c r="D70" s="8" t="s">
        <v>242</v>
      </c>
    </row>
    <row r="71" spans="1:4" s="103" customFormat="1" ht="13.5" thickBot="1" x14ac:dyDescent="0.25">
      <c r="A71" s="23"/>
      <c r="B71" s="28"/>
      <c r="C71" s="1"/>
      <c r="D71" s="102">
        <f>IF(D70="ja",1,IF(D70="nein",2,0))</f>
        <v>2</v>
      </c>
    </row>
    <row r="72" spans="1:4" ht="16.5" thickBot="1" x14ac:dyDescent="0.25">
      <c r="A72" s="33"/>
      <c r="B72" s="62" t="s">
        <v>68</v>
      </c>
      <c r="C72" s="63" t="s">
        <v>69</v>
      </c>
      <c r="D72" s="59" t="s">
        <v>45</v>
      </c>
    </row>
    <row r="73" spans="1:4" x14ac:dyDescent="0.2">
      <c r="A73" s="23"/>
      <c r="B73" s="62"/>
      <c r="C73" s="28"/>
      <c r="D73" s="28"/>
    </row>
    <row r="74" spans="1:4" ht="15.75" x14ac:dyDescent="0.2">
      <c r="A74" s="64"/>
      <c r="B74" s="28" t="s">
        <v>70</v>
      </c>
      <c r="C74" s="1" t="s">
        <v>71</v>
      </c>
      <c r="D74" s="58">
        <f>PI()*D53^2/4</f>
        <v>113.09733552923255</v>
      </c>
    </row>
    <row r="75" spans="1:4" ht="15.75" x14ac:dyDescent="0.2">
      <c r="A75" s="23"/>
      <c r="B75" s="28"/>
      <c r="C75" s="1" t="s">
        <v>72</v>
      </c>
      <c r="D75" s="58">
        <f>PI()*D54^2/4</f>
        <v>0</v>
      </c>
    </row>
    <row r="76" spans="1:4" ht="15.75" x14ac:dyDescent="0.2">
      <c r="A76" s="23"/>
      <c r="B76" s="28"/>
      <c r="C76" s="1" t="s">
        <v>73</v>
      </c>
      <c r="D76" s="58">
        <f>PI()*D55^2/4</f>
        <v>76.247369174902119</v>
      </c>
    </row>
    <row r="77" spans="1:4" ht="15.75" x14ac:dyDescent="0.2">
      <c r="A77" s="23"/>
      <c r="B77" s="65" t="s">
        <v>74</v>
      </c>
      <c r="C77" s="63" t="s">
        <v>75</v>
      </c>
      <c r="D77" s="66">
        <f>IF(D54=0,1/210*(D56/D74+D58/D76+D64/D74)*10^3,1/210*(D56/D74+D57/D75+D58/D76+D64/D74)*10^3)</f>
        <v>2.7374655970697535</v>
      </c>
    </row>
    <row r="78" spans="1:4" ht="15.75" x14ac:dyDescent="0.2">
      <c r="A78" s="61"/>
      <c r="B78" s="52" t="s">
        <v>76</v>
      </c>
      <c r="C78" s="67" t="s">
        <v>77</v>
      </c>
      <c r="D78" s="68">
        <f>D68/D25</f>
        <v>4.4444444444444446</v>
      </c>
    </row>
    <row r="79" spans="1:4" ht="15.75" x14ac:dyDescent="0.2">
      <c r="A79" s="23"/>
      <c r="B79" s="69" t="s">
        <v>78</v>
      </c>
      <c r="C79" s="1" t="s">
        <v>79</v>
      </c>
      <c r="D79" s="68">
        <f>IF(D68&lt;=D25,PI()/4*(D68^2-D26^2),IF(AND(D25&lt;D68,D68&lt;(D25+D59)),PI()/4*(D25^2-D26^2)+PI()/8*D25*(D68-D25)*((D80+1)^2-1),IF(D68&gt;=(D25+D59),PI()/4*(D25^2-D26^2)+PI()/8*D25*D59*((D81+1)^2-1),0)))</f>
        <v>569.14560150742318</v>
      </c>
    </row>
    <row r="80" spans="1:4" ht="15.75" x14ac:dyDescent="0.2">
      <c r="A80" s="23"/>
      <c r="B80" s="69" t="s">
        <v>80</v>
      </c>
      <c r="C80" s="1" t="s">
        <v>81</v>
      </c>
      <c r="D80" s="70">
        <f>POWER((D59*D25/D68^2),1/3)</f>
        <v>0.49065994652828848</v>
      </c>
    </row>
    <row r="81" spans="1:4" ht="15.75" x14ac:dyDescent="0.2">
      <c r="A81" s="23"/>
      <c r="B81" s="69"/>
      <c r="C81" s="1" t="s">
        <v>82</v>
      </c>
      <c r="D81" s="70">
        <f>POWER((D59*D25/(D59+D25)^2),1/3)</f>
        <v>0.59439219527631304</v>
      </c>
    </row>
    <row r="82" spans="1:4" ht="15.75" x14ac:dyDescent="0.2">
      <c r="A82" s="23"/>
      <c r="B82" s="65" t="s">
        <v>83</v>
      </c>
      <c r="C82" s="63" t="s">
        <v>84</v>
      </c>
      <c r="D82" s="66">
        <f>IF(D71=1,D72*D77,IF(D71=2,D59/(D67*D79)*10^3,0))</f>
        <v>0.35140392804633047</v>
      </c>
    </row>
    <row r="83" spans="1:4" ht="15.75" x14ac:dyDescent="0.2">
      <c r="A83" s="71"/>
      <c r="B83" s="72" t="s">
        <v>85</v>
      </c>
      <c r="C83" s="1" t="s">
        <v>86</v>
      </c>
      <c r="D83" s="73">
        <f>D18*D77*10^-3</f>
        <v>0.18888512619781297</v>
      </c>
    </row>
    <row r="84" spans="1:4" ht="15.75" x14ac:dyDescent="0.2">
      <c r="A84" s="44"/>
      <c r="B84" s="51" t="s">
        <v>87</v>
      </c>
      <c r="C84" s="10" t="s">
        <v>88</v>
      </c>
      <c r="D84" s="66">
        <f>D82/(D77+D82)</f>
        <v>0.11376457477048152</v>
      </c>
    </row>
    <row r="85" spans="1:4" ht="15.75" x14ac:dyDescent="0.2">
      <c r="A85" s="44"/>
      <c r="B85" s="53"/>
      <c r="C85" s="10"/>
      <c r="D85" s="74"/>
    </row>
    <row r="86" spans="1:4" ht="15.75" x14ac:dyDescent="0.2">
      <c r="A86" s="44"/>
      <c r="B86" s="53"/>
      <c r="C86" s="10"/>
      <c r="D86" s="74"/>
    </row>
    <row r="87" spans="1:4" x14ac:dyDescent="0.2">
      <c r="A87" s="23" t="s">
        <v>89</v>
      </c>
      <c r="B87" s="75" t="s">
        <v>90</v>
      </c>
      <c r="C87" s="40"/>
      <c r="D87" s="40"/>
    </row>
    <row r="88" spans="1:4" ht="16.5" thickBot="1" x14ac:dyDescent="0.25">
      <c r="A88" s="61"/>
      <c r="B88" s="52" t="s">
        <v>91</v>
      </c>
      <c r="C88" s="67" t="s">
        <v>92</v>
      </c>
      <c r="D88" s="68">
        <f>D59/D21</f>
        <v>3.5</v>
      </c>
    </row>
    <row r="89" spans="1:4" ht="16.5" thickBot="1" x14ac:dyDescent="0.25">
      <c r="A89" s="61"/>
      <c r="B89" s="53" t="s">
        <v>172</v>
      </c>
      <c r="C89" s="67" t="s">
        <v>93</v>
      </c>
      <c r="D89" s="59">
        <v>5.05</v>
      </c>
    </row>
    <row r="90" spans="1:4" ht="15.75" x14ac:dyDescent="0.2">
      <c r="A90" s="61"/>
      <c r="B90" s="52"/>
      <c r="C90" s="67" t="s">
        <v>94</v>
      </c>
      <c r="D90" s="66">
        <f>D89*D84/D82</f>
        <v>1.6349023352840433</v>
      </c>
    </row>
    <row r="91" spans="1:4" x14ac:dyDescent="0.2">
      <c r="A91" s="61"/>
      <c r="B91" s="52"/>
      <c r="C91" s="67"/>
      <c r="D91" s="76"/>
    </row>
    <row r="92" spans="1:4" ht="13.5" thickBot="1" x14ac:dyDescent="0.25">
      <c r="A92" s="23" t="s">
        <v>95</v>
      </c>
      <c r="B92" s="51" t="s">
        <v>96</v>
      </c>
      <c r="C92" s="67"/>
      <c r="D92" s="74"/>
    </row>
    <row r="93" spans="1:4" ht="13.5" thickBot="1" x14ac:dyDescent="0.25">
      <c r="A93" s="23"/>
      <c r="B93" s="77" t="s">
        <v>197</v>
      </c>
      <c r="C93" s="67" t="s">
        <v>98</v>
      </c>
      <c r="D93" s="14">
        <v>0.3</v>
      </c>
    </row>
    <row r="94" spans="1:4" ht="15.75" x14ac:dyDescent="0.2">
      <c r="A94" s="23"/>
      <c r="B94" s="99" t="s">
        <v>218</v>
      </c>
      <c r="C94" s="67" t="s">
        <v>99</v>
      </c>
      <c r="D94" s="58">
        <f>D18-D90</f>
        <v>67.365097664715961</v>
      </c>
    </row>
    <row r="95" spans="1:4" ht="15.75" x14ac:dyDescent="0.2">
      <c r="A95" s="23"/>
      <c r="B95" s="78"/>
      <c r="C95" s="67" t="s">
        <v>100</v>
      </c>
      <c r="D95" s="58">
        <f>D18/D46-D90</f>
        <v>41.490097664715954</v>
      </c>
    </row>
    <row r="96" spans="1:4" ht="15.75" x14ac:dyDescent="0.2">
      <c r="A96" s="23"/>
      <c r="B96" s="99" t="s">
        <v>219</v>
      </c>
      <c r="C96" s="67" t="s">
        <v>101</v>
      </c>
      <c r="D96" s="79">
        <f>D93*D84*D9</f>
        <v>0.85323431077861134</v>
      </c>
    </row>
    <row r="97" spans="1:5" ht="15.75" x14ac:dyDescent="0.2">
      <c r="A97" s="23"/>
      <c r="B97" s="99" t="s">
        <v>220</v>
      </c>
      <c r="C97" s="67" t="s">
        <v>102</v>
      </c>
      <c r="D97" s="79">
        <f>D9-D96</f>
        <v>24.14676568922139</v>
      </c>
    </row>
    <row r="98" spans="1:5" ht="15.75" x14ac:dyDescent="0.2">
      <c r="A98" s="23"/>
      <c r="B98" s="99" t="s">
        <v>221</v>
      </c>
      <c r="C98" s="67" t="s">
        <v>103</v>
      </c>
      <c r="D98" s="79">
        <f>D94+D96</f>
        <v>68.218331975494579</v>
      </c>
    </row>
    <row r="99" spans="1:5" ht="15.75" x14ac:dyDescent="0.2">
      <c r="A99" s="23"/>
      <c r="B99" s="78"/>
      <c r="C99" s="67" t="s">
        <v>104</v>
      </c>
      <c r="D99" s="58">
        <f>D95+D96</f>
        <v>42.343331975494564</v>
      </c>
    </row>
    <row r="100" spans="1:5" ht="15.75" x14ac:dyDescent="0.2">
      <c r="A100" s="23"/>
      <c r="B100" s="80" t="s">
        <v>222</v>
      </c>
      <c r="C100" s="1" t="s">
        <v>105</v>
      </c>
      <c r="D100" s="81">
        <f>D99-D9</f>
        <v>17.343331975494564</v>
      </c>
    </row>
    <row r="101" spans="1:5" ht="15.75" x14ac:dyDescent="0.2">
      <c r="A101" s="23"/>
      <c r="B101" s="80" t="s">
        <v>106</v>
      </c>
      <c r="C101" s="1" t="s">
        <v>51</v>
      </c>
      <c r="D101" s="82">
        <f>D49</f>
        <v>2.9</v>
      </c>
    </row>
    <row r="102" spans="1:5" ht="13.5" thickBot="1" x14ac:dyDescent="0.25">
      <c r="A102" s="23"/>
      <c r="B102" s="80"/>
      <c r="C102" s="1"/>
      <c r="D102" s="83"/>
    </row>
    <row r="103" spans="1:5" ht="45" thickBot="1" x14ac:dyDescent="0.25">
      <c r="A103" s="56"/>
      <c r="B103" s="104" t="s">
        <v>243</v>
      </c>
      <c r="C103" s="13"/>
      <c r="D103" s="105" t="s">
        <v>244</v>
      </c>
    </row>
    <row r="104" spans="1:5" s="103" customFormat="1" x14ac:dyDescent="0.2">
      <c r="A104" s="23"/>
      <c r="B104" s="28"/>
      <c r="C104" s="1"/>
      <c r="D104" s="102">
        <f>IF(D103="erforderliche Klemmkraft",1,IF(D103="errechnete Klemmkraft",2,0))</f>
        <v>1</v>
      </c>
    </row>
    <row r="105" spans="1:5" ht="15.75" x14ac:dyDescent="0.2">
      <c r="A105" s="23"/>
      <c r="B105" s="51" t="s">
        <v>107</v>
      </c>
      <c r="C105" s="1" t="s">
        <v>108</v>
      </c>
      <c r="D105" s="84">
        <f>IF(D104=1,D46*(D49+D97+D90),IF(D104=2,D46*(D100+D97+D90),0))</f>
        <v>45.890668839208693</v>
      </c>
    </row>
    <row r="106" spans="1:5" ht="15.75" x14ac:dyDescent="0.2">
      <c r="A106" s="23"/>
      <c r="B106" s="51" t="s">
        <v>109</v>
      </c>
      <c r="C106" s="1" t="s">
        <v>110</v>
      </c>
      <c r="D106" s="85">
        <f>D105/D46</f>
        <v>28.681668024505431</v>
      </c>
    </row>
    <row r="107" spans="1:5" ht="15.75" x14ac:dyDescent="0.2">
      <c r="A107" s="23"/>
      <c r="B107" s="51" t="s">
        <v>111</v>
      </c>
      <c r="C107" s="1" t="s">
        <v>26</v>
      </c>
      <c r="D107" s="83">
        <f>D18</f>
        <v>69</v>
      </c>
    </row>
    <row r="108" spans="1:5" ht="27" customHeight="1" x14ac:dyDescent="0.2">
      <c r="A108" s="33" t="s">
        <v>61</v>
      </c>
      <c r="B108" s="86" t="s">
        <v>112</v>
      </c>
      <c r="C108" s="13"/>
      <c r="D108" s="87"/>
      <c r="E108" s="88"/>
    </row>
    <row r="109" spans="1:5" x14ac:dyDescent="0.2">
      <c r="A109" s="23"/>
      <c r="B109" s="51"/>
      <c r="C109" s="67"/>
      <c r="D109" s="74"/>
    </row>
    <row r="110" spans="1:5" x14ac:dyDescent="0.2">
      <c r="A110" s="23"/>
      <c r="B110" s="51"/>
      <c r="C110" s="67"/>
      <c r="D110" s="74"/>
    </row>
    <row r="111" spans="1:5" x14ac:dyDescent="0.2">
      <c r="A111" s="23" t="s">
        <v>113</v>
      </c>
      <c r="B111" s="51" t="s">
        <v>114</v>
      </c>
      <c r="C111" s="67"/>
      <c r="D111" s="74"/>
    </row>
    <row r="112" spans="1:5" ht="16.5" thickBot="1" x14ac:dyDescent="0.25">
      <c r="A112" s="23"/>
      <c r="B112" s="52" t="s">
        <v>202</v>
      </c>
      <c r="C112" s="1" t="s">
        <v>27</v>
      </c>
      <c r="D112" s="2">
        <f>D19</f>
        <v>0.12</v>
      </c>
    </row>
    <row r="113" spans="1:4" ht="16.5" thickBot="1" x14ac:dyDescent="0.25">
      <c r="A113" s="23"/>
      <c r="B113" s="78" t="s">
        <v>203</v>
      </c>
      <c r="C113" s="1" t="s">
        <v>115</v>
      </c>
      <c r="D113" s="8">
        <v>0.12</v>
      </c>
    </row>
    <row r="114" spans="1:4" ht="15.75" x14ac:dyDescent="0.2">
      <c r="A114" s="23"/>
      <c r="B114" s="78" t="s">
        <v>116</v>
      </c>
      <c r="C114" s="1" t="s">
        <v>117</v>
      </c>
      <c r="D114" s="58">
        <f>0.25*(D25+D26)</f>
        <v>7.875</v>
      </c>
    </row>
    <row r="115" spans="1:4" ht="16.5" thickBot="1" x14ac:dyDescent="0.25">
      <c r="A115" s="23"/>
      <c r="B115" s="89" t="s">
        <v>118</v>
      </c>
      <c r="C115" s="1" t="s">
        <v>119</v>
      </c>
      <c r="D115" s="81">
        <f>D105*(0.16*D24+0.58*D112*D29+D113*D114)</f>
        <v>90.913474642600605</v>
      </c>
    </row>
    <row r="116" spans="1:4" ht="16.5" thickBot="1" x14ac:dyDescent="0.25">
      <c r="A116" s="23"/>
      <c r="B116" s="78" t="s">
        <v>191</v>
      </c>
      <c r="C116" s="1" t="s">
        <v>120</v>
      </c>
      <c r="D116" s="14">
        <v>135</v>
      </c>
    </row>
    <row r="117" spans="1:4" ht="25.5" x14ac:dyDescent="0.2">
      <c r="A117" s="33" t="s">
        <v>61</v>
      </c>
      <c r="B117" s="86" t="s">
        <v>174</v>
      </c>
      <c r="C117" s="67"/>
      <c r="D117" s="74"/>
    </row>
    <row r="118" spans="1:4" x14ac:dyDescent="0.2">
      <c r="A118" s="23"/>
      <c r="B118" s="51"/>
      <c r="C118" s="67"/>
      <c r="D118" s="74"/>
    </row>
    <row r="119" spans="1:4" x14ac:dyDescent="0.2">
      <c r="A119" s="23"/>
      <c r="B119" s="51"/>
      <c r="C119" s="67"/>
      <c r="D119" s="74"/>
    </row>
    <row r="120" spans="1:4" x14ac:dyDescent="0.2">
      <c r="A120" s="23" t="s">
        <v>121</v>
      </c>
      <c r="B120" s="51" t="s">
        <v>122</v>
      </c>
      <c r="C120" s="67"/>
      <c r="D120" s="74"/>
    </row>
    <row r="121" spans="1:4" x14ac:dyDescent="0.2">
      <c r="A121" s="56"/>
      <c r="B121" s="72"/>
      <c r="C121" s="1"/>
      <c r="D121" s="90"/>
    </row>
    <row r="122" spans="1:4" ht="15.75" x14ac:dyDescent="0.2">
      <c r="A122" s="56"/>
      <c r="B122" s="51" t="s">
        <v>123</v>
      </c>
      <c r="C122" s="10" t="s">
        <v>124</v>
      </c>
      <c r="D122" s="81">
        <f>IF(D41=1,D96*10^3/D33,IF(D41=2,D96*10^3/D43,0))</f>
        <v>10.125426007093225</v>
      </c>
    </row>
    <row r="123" spans="1:4" ht="30" x14ac:dyDescent="0.2">
      <c r="A123" s="33" t="s">
        <v>125</v>
      </c>
      <c r="B123" s="86" t="s">
        <v>126</v>
      </c>
      <c r="C123" s="6" t="s">
        <v>127</v>
      </c>
      <c r="D123" s="9">
        <f>0.1*D37</f>
        <v>110</v>
      </c>
    </row>
    <row r="124" spans="1:4" x14ac:dyDescent="0.2">
      <c r="A124" s="33"/>
      <c r="B124" s="86"/>
      <c r="C124" s="1"/>
      <c r="D124" s="9"/>
    </row>
    <row r="125" spans="1:4" ht="15.75" x14ac:dyDescent="0.2">
      <c r="A125" s="33"/>
      <c r="B125" s="51" t="s">
        <v>128</v>
      </c>
      <c r="C125" s="10" t="s">
        <v>129</v>
      </c>
      <c r="D125" s="81">
        <f>D126/D33</f>
        <v>5.0627130035466124</v>
      </c>
    </row>
    <row r="126" spans="1:4" ht="16.5" thickBot="1" x14ac:dyDescent="0.25">
      <c r="A126" s="33"/>
      <c r="B126" s="53" t="s">
        <v>130</v>
      </c>
      <c r="C126" s="67" t="s">
        <v>131</v>
      </c>
      <c r="D126" s="58">
        <f>0.5*D93*D84*(D11-D12)*10^3</f>
        <v>426.61715538930565</v>
      </c>
    </row>
    <row r="127" spans="1:4" ht="16.5" thickBot="1" x14ac:dyDescent="0.25">
      <c r="A127" s="91"/>
      <c r="B127" s="28" t="s">
        <v>175</v>
      </c>
      <c r="C127" s="10" t="s">
        <v>132</v>
      </c>
      <c r="D127" s="11">
        <v>90</v>
      </c>
    </row>
    <row r="128" spans="1:4" ht="15.75" x14ac:dyDescent="0.2">
      <c r="A128" s="33" t="s">
        <v>133</v>
      </c>
      <c r="B128" s="28" t="s">
        <v>134</v>
      </c>
      <c r="C128" s="10" t="s">
        <v>135</v>
      </c>
      <c r="D128" s="92">
        <f>0.9*D127</f>
        <v>81</v>
      </c>
    </row>
    <row r="129" spans="1:4" ht="15.75" x14ac:dyDescent="0.2">
      <c r="A129" s="42"/>
      <c r="B129" s="53"/>
      <c r="C129" s="10"/>
      <c r="D129" s="9"/>
    </row>
    <row r="130" spans="1:4" ht="16.5" thickBot="1" x14ac:dyDescent="0.25">
      <c r="A130" s="42"/>
      <c r="B130" s="51" t="s">
        <v>136</v>
      </c>
      <c r="C130" s="10"/>
      <c r="D130" s="9"/>
    </row>
    <row r="131" spans="1:4" ht="13.5" thickBot="1" x14ac:dyDescent="0.25">
      <c r="A131" s="42"/>
      <c r="B131" s="28" t="s">
        <v>137</v>
      </c>
      <c r="C131" s="1" t="s">
        <v>138</v>
      </c>
      <c r="D131" s="11">
        <v>0.5</v>
      </c>
    </row>
    <row r="132" spans="1:4" ht="13.5" thickBot="1" x14ac:dyDescent="0.25">
      <c r="A132" s="23"/>
      <c r="B132" s="80"/>
      <c r="C132" s="1"/>
      <c r="D132" s="83"/>
    </row>
    <row r="133" spans="1:4" ht="45" thickBot="1" x14ac:dyDescent="0.25">
      <c r="A133" s="56"/>
      <c r="B133" s="104" t="s">
        <v>243</v>
      </c>
      <c r="C133" s="13"/>
      <c r="D133" s="105" t="s">
        <v>244</v>
      </c>
    </row>
    <row r="134" spans="1:4" s="103" customFormat="1" x14ac:dyDescent="0.2">
      <c r="A134" s="23"/>
      <c r="B134" s="28"/>
      <c r="C134" s="1"/>
      <c r="D134" s="102">
        <f>IF(D133="erforderliche Klemmkraft",1,IF(D133="errechnete Klemmkraft",2,0))</f>
        <v>1</v>
      </c>
    </row>
    <row r="135" spans="1:4" ht="15.75" x14ac:dyDescent="0.2">
      <c r="A135" s="23"/>
      <c r="B135" s="51" t="s">
        <v>107</v>
      </c>
      <c r="C135" s="1" t="s">
        <v>108</v>
      </c>
      <c r="D135" s="84">
        <f>IF(D134=1,D46*(D49+D97+D90),IF(D134=2,D46*(D100+D97+D90),0))</f>
        <v>45.890668839208693</v>
      </c>
    </row>
    <row r="136" spans="1:4" ht="15.75" x14ac:dyDescent="0.2">
      <c r="A136" s="42"/>
      <c r="B136" s="69" t="s">
        <v>223</v>
      </c>
      <c r="C136" s="67" t="s">
        <v>139</v>
      </c>
      <c r="D136" s="68">
        <f>D135-D90</f>
        <v>44.255766503924647</v>
      </c>
    </row>
    <row r="137" spans="1:4" ht="15.75" x14ac:dyDescent="0.2">
      <c r="A137" s="42"/>
      <c r="B137" s="69" t="s">
        <v>224</v>
      </c>
      <c r="C137" s="67" t="s">
        <v>140</v>
      </c>
      <c r="D137" s="68">
        <f>D136+D96</f>
        <v>45.109000814703258</v>
      </c>
    </row>
    <row r="138" spans="1:4" ht="15.75" x14ac:dyDescent="0.2">
      <c r="A138" s="42"/>
      <c r="B138" s="69" t="s">
        <v>239</v>
      </c>
      <c r="C138" s="1" t="s">
        <v>141</v>
      </c>
      <c r="D138" s="9">
        <f>(D25^2-(D26+2*D131)^2)*PI()/4</f>
        <v>89.339041086459744</v>
      </c>
    </row>
    <row r="139" spans="1:4" ht="16.5" thickBot="1" x14ac:dyDescent="0.25">
      <c r="A139" s="42"/>
      <c r="B139" s="53" t="s">
        <v>142</v>
      </c>
      <c r="C139" s="1" t="s">
        <v>143</v>
      </c>
      <c r="D139" s="81">
        <f>D137*10^3/D138</f>
        <v>504.91924097380974</v>
      </c>
    </row>
    <row r="140" spans="1:4" ht="16.5" thickBot="1" x14ac:dyDescent="0.25">
      <c r="A140" s="33" t="s">
        <v>144</v>
      </c>
      <c r="B140" s="28" t="s">
        <v>200</v>
      </c>
      <c r="C140" s="1" t="s">
        <v>145</v>
      </c>
      <c r="D140" s="11">
        <v>900</v>
      </c>
    </row>
    <row r="141" spans="1:4" x14ac:dyDescent="0.2">
      <c r="A141" s="44"/>
      <c r="B141" s="40"/>
      <c r="C141" s="40"/>
      <c r="D141" s="40"/>
    </row>
    <row r="142" spans="1:4" x14ac:dyDescent="0.2">
      <c r="A142" s="44"/>
      <c r="B142" s="40"/>
      <c r="C142" s="40"/>
      <c r="D142" s="40"/>
    </row>
    <row r="143" spans="1:4" x14ac:dyDescent="0.2">
      <c r="A143" s="23"/>
      <c r="B143" s="28"/>
      <c r="C143" s="28"/>
      <c r="D143" s="28"/>
    </row>
    <row r="144" spans="1:4" ht="63.75" x14ac:dyDescent="0.2">
      <c r="A144" s="42" t="s">
        <v>146</v>
      </c>
      <c r="B144" s="93" t="s">
        <v>147</v>
      </c>
      <c r="C144" s="40"/>
      <c r="D144" s="40"/>
    </row>
    <row r="145" spans="1:4" x14ac:dyDescent="0.2">
      <c r="A145" s="44"/>
      <c r="B145" s="40"/>
      <c r="C145" s="40"/>
      <c r="D145" s="40"/>
    </row>
  </sheetData>
  <phoneticPr fontId="0" type="noConversion"/>
  <dataValidations count="3">
    <dataValidation type="list" allowBlank="1" showInputMessage="1" showErrorMessage="1" sqref="D40" xr:uid="{00000000-0002-0000-0100-000000000000}">
      <formula1>"Schaftschraube,Taillenschraube"</formula1>
    </dataValidation>
    <dataValidation type="list" allowBlank="1" showInputMessage="1" showErrorMessage="1" sqref="D70" xr:uid="{00000000-0002-0000-0100-000001000000}">
      <formula1>"ja,nein"</formula1>
    </dataValidation>
    <dataValidation type="list" allowBlank="1" showInputMessage="1" showErrorMessage="1" sqref="D103 D133" xr:uid="{00000000-0002-0000-0100-000002000000}">
      <formula1>"erforderliche Klemmkraft,errechnete Klemmkraft"</formula1>
    </dataValidation>
  </dataValidations>
  <pageMargins left="0.78740157480314965" right="0.39370078740157483" top="0.98425196850393704" bottom="0.98425196850393704" header="0.51181102362204722" footer="0.51181102362204722"/>
  <pageSetup paperSize="9" orientation="portrait" horizontalDpi="300" verticalDpi="300" r:id="rId1"/>
  <headerFooter alignWithMargins="0">
    <oddHeader>&amp;C&amp;F</oddHeader>
    <oddFooter>&amp;CSeite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autoFill="0" autoLine="0" autoPict="0" macro="[0]!zurück_1">
                <anchor moveWithCells="1" sizeWithCells="1">
                  <from>
                    <xdr:col>3</xdr:col>
                    <xdr:colOff>28575</xdr:colOff>
                    <xdr:row>3</xdr:row>
                    <xdr:rowOff>28575</xdr:rowOff>
                  </from>
                  <to>
                    <xdr:col>3</xdr:col>
                    <xdr:colOff>762000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autoFill="0" autoLine="0" autoPict="0" macro="[0]!zurück_1">
                <anchor moveWithCells="1" sizeWithCells="1">
                  <from>
                    <xdr:col>3</xdr:col>
                    <xdr:colOff>28575</xdr:colOff>
                    <xdr:row>143</xdr:row>
                    <xdr:rowOff>28575</xdr:rowOff>
                  </from>
                  <to>
                    <xdr:col>3</xdr:col>
                    <xdr:colOff>762000</xdr:colOff>
                    <xdr:row>143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156"/>
  <sheetViews>
    <sheetView tabSelected="1" topLeftCell="A124" zoomScaleNormal="100" workbookViewId="0">
      <selection activeCell="D154" sqref="D154"/>
    </sheetView>
  </sheetViews>
  <sheetFormatPr baseColWidth="10" defaultRowHeight="12.75" x14ac:dyDescent="0.2"/>
  <cols>
    <col min="1" max="1" width="12.7109375" style="26" customWidth="1"/>
    <col min="2" max="2" width="45.7109375" style="26" customWidth="1"/>
    <col min="3" max="4" width="12.7109375" style="26" customWidth="1"/>
    <col min="5" max="16384" width="11.42578125" style="26"/>
  </cols>
  <sheetData>
    <row r="1" spans="1:4" x14ac:dyDescent="0.2">
      <c r="A1" s="36" t="s">
        <v>199</v>
      </c>
      <c r="B1" s="49"/>
      <c r="C1" s="37" t="s">
        <v>0</v>
      </c>
      <c r="D1" s="38">
        <f ca="1">NOW()</f>
        <v>43846.74245474537</v>
      </c>
    </row>
    <row r="2" spans="1:4" ht="13.5" thickBot="1" x14ac:dyDescent="0.25">
      <c r="A2" s="39"/>
      <c r="B2" s="39"/>
      <c r="C2" s="39"/>
      <c r="D2" s="39"/>
    </row>
    <row r="3" spans="1:4" ht="20.100000000000001" customHeight="1" x14ac:dyDescent="0.2">
      <c r="A3" s="23" t="s">
        <v>1</v>
      </c>
      <c r="B3" s="35" t="s">
        <v>207</v>
      </c>
      <c r="C3" s="25"/>
      <c r="D3" s="25"/>
    </row>
    <row r="4" spans="1:4" ht="20.100000000000001" customHeight="1" x14ac:dyDescent="0.2">
      <c r="A4" s="23" t="s">
        <v>2</v>
      </c>
      <c r="B4" s="26" t="s">
        <v>3</v>
      </c>
      <c r="C4" s="27"/>
      <c r="D4" s="24"/>
    </row>
    <row r="5" spans="1:4" ht="20.100000000000001" customHeight="1" x14ac:dyDescent="0.2">
      <c r="A5" s="23" t="s">
        <v>4</v>
      </c>
      <c r="B5" s="28" t="s">
        <v>11</v>
      </c>
      <c r="C5" s="27"/>
      <c r="D5" s="24"/>
    </row>
    <row r="6" spans="1:4" ht="20.100000000000001" customHeight="1" thickBot="1" x14ac:dyDescent="0.25">
      <c r="A6" s="29" t="s">
        <v>5</v>
      </c>
      <c r="B6" s="30" t="s">
        <v>12</v>
      </c>
      <c r="C6" s="30"/>
      <c r="D6" s="30"/>
    </row>
    <row r="7" spans="1:4" x14ac:dyDescent="0.2">
      <c r="A7" s="23"/>
      <c r="B7" s="24"/>
      <c r="C7" s="24"/>
      <c r="D7" s="24"/>
    </row>
    <row r="8" spans="1:4" ht="13.5" thickBot="1" x14ac:dyDescent="0.25">
      <c r="A8" s="23" t="s">
        <v>13</v>
      </c>
      <c r="B8" s="65" t="s">
        <v>148</v>
      </c>
      <c r="C8" s="1"/>
      <c r="D8" s="2"/>
    </row>
    <row r="9" spans="1:4" x14ac:dyDescent="0.2">
      <c r="A9" s="23"/>
      <c r="B9" s="28" t="s">
        <v>30</v>
      </c>
      <c r="C9" s="1" t="s">
        <v>31</v>
      </c>
      <c r="D9" s="3">
        <v>20</v>
      </c>
    </row>
    <row r="10" spans="1:4" x14ac:dyDescent="0.2">
      <c r="A10" s="23"/>
      <c r="B10" s="28" t="s">
        <v>187</v>
      </c>
      <c r="C10" s="1" t="s">
        <v>32</v>
      </c>
      <c r="D10" s="54">
        <v>2.5</v>
      </c>
    </row>
    <row r="11" spans="1:4" ht="15.75" x14ac:dyDescent="0.2">
      <c r="A11" s="23"/>
      <c r="B11" s="53" t="s">
        <v>188</v>
      </c>
      <c r="C11" s="1" t="s">
        <v>33</v>
      </c>
      <c r="D11" s="54">
        <v>28.2</v>
      </c>
    </row>
    <row r="12" spans="1:4" ht="16.5" thickBot="1" x14ac:dyDescent="0.25">
      <c r="A12" s="23"/>
      <c r="B12" s="28" t="s">
        <v>189</v>
      </c>
      <c r="C12" s="1" t="s">
        <v>34</v>
      </c>
      <c r="D12" s="4">
        <v>22</v>
      </c>
    </row>
    <row r="13" spans="1:4" x14ac:dyDescent="0.2">
      <c r="A13" s="23"/>
      <c r="B13" s="28"/>
      <c r="C13" s="1"/>
      <c r="D13" s="2"/>
    </row>
    <row r="14" spans="1:4" x14ac:dyDescent="0.2">
      <c r="A14" s="23"/>
      <c r="B14" s="51" t="s">
        <v>176</v>
      </c>
      <c r="C14" s="1"/>
      <c r="D14" s="2"/>
    </row>
    <row r="15" spans="1:4" ht="15.75" x14ac:dyDescent="0.2">
      <c r="A15" s="47"/>
      <c r="B15" s="69" t="s">
        <v>225</v>
      </c>
      <c r="C15" s="1" t="s">
        <v>35</v>
      </c>
      <c r="D15" s="55">
        <f>D9-0.64952*D10</f>
        <v>18.376200000000001</v>
      </c>
    </row>
    <row r="16" spans="1:4" ht="15.75" x14ac:dyDescent="0.2">
      <c r="A16" s="56"/>
      <c r="B16" s="69" t="s">
        <v>226</v>
      </c>
      <c r="C16" s="1" t="s">
        <v>36</v>
      </c>
      <c r="D16" s="55">
        <f>D9-1.22687*D10</f>
        <v>16.932825000000001</v>
      </c>
    </row>
    <row r="17" spans="1:4" ht="15.75" x14ac:dyDescent="0.2">
      <c r="A17" s="56"/>
      <c r="B17" s="69" t="s">
        <v>227</v>
      </c>
      <c r="C17" s="1" t="s">
        <v>37</v>
      </c>
      <c r="D17" s="55">
        <f>0.5*(D15+D16)</f>
        <v>17.654512500000003</v>
      </c>
    </row>
    <row r="18" spans="1:4" ht="15.75" x14ac:dyDescent="0.2">
      <c r="A18" s="56"/>
      <c r="B18" s="69" t="s">
        <v>228</v>
      </c>
      <c r="C18" s="1" t="s">
        <v>38</v>
      </c>
      <c r="D18" s="55">
        <f>PI()*D16^2/4</f>
        <v>225.18980318056623</v>
      </c>
    </row>
    <row r="19" spans="1:4" ht="15.75" x14ac:dyDescent="0.2">
      <c r="A19" s="56"/>
      <c r="B19" s="69" t="s">
        <v>229</v>
      </c>
      <c r="C19" s="1" t="s">
        <v>39</v>
      </c>
      <c r="D19" s="55">
        <f>PI()*D17^2/4</f>
        <v>244.79432240496976</v>
      </c>
    </row>
    <row r="20" spans="1:4" ht="15.75" x14ac:dyDescent="0.2">
      <c r="A20" s="56"/>
      <c r="B20" s="69" t="s">
        <v>230</v>
      </c>
      <c r="C20" s="1" t="s">
        <v>177</v>
      </c>
      <c r="D20" s="55">
        <f>PI()*D9^2/4</f>
        <v>314.15926535897933</v>
      </c>
    </row>
    <row r="21" spans="1:4" x14ac:dyDescent="0.2">
      <c r="A21" s="23"/>
      <c r="B21" s="28"/>
      <c r="C21" s="1"/>
      <c r="D21" s="2"/>
    </row>
    <row r="22" spans="1:4" ht="13.5" thickBot="1" x14ac:dyDescent="0.25">
      <c r="A22" s="23"/>
      <c r="B22" s="46" t="s">
        <v>40</v>
      </c>
      <c r="C22" s="1"/>
      <c r="D22" s="2"/>
    </row>
    <row r="23" spans="1:4" ht="30" x14ac:dyDescent="0.2">
      <c r="A23" s="23"/>
      <c r="B23" s="34" t="s">
        <v>170</v>
      </c>
      <c r="C23" s="6" t="s">
        <v>41</v>
      </c>
      <c r="D23" s="18">
        <v>640</v>
      </c>
    </row>
    <row r="24" spans="1:4" ht="42" customHeight="1" thickBot="1" x14ac:dyDescent="0.25">
      <c r="A24" s="23"/>
      <c r="B24" s="34" t="s">
        <v>149</v>
      </c>
      <c r="C24" s="6" t="s">
        <v>150</v>
      </c>
      <c r="D24" s="17">
        <v>90</v>
      </c>
    </row>
    <row r="25" spans="1:4" x14ac:dyDescent="0.2">
      <c r="A25" s="23"/>
      <c r="B25" s="25"/>
      <c r="C25" s="6"/>
      <c r="D25" s="19"/>
    </row>
    <row r="26" spans="1:4" ht="13.5" thickBot="1" x14ac:dyDescent="0.25">
      <c r="A26" s="23"/>
      <c r="B26" s="51" t="s">
        <v>204</v>
      </c>
      <c r="C26" s="6"/>
      <c r="D26" s="19"/>
    </row>
    <row r="27" spans="1:4" ht="15.75" x14ac:dyDescent="0.2">
      <c r="A27" s="23"/>
      <c r="B27" s="52" t="s">
        <v>205</v>
      </c>
      <c r="C27" s="1" t="s">
        <v>27</v>
      </c>
      <c r="D27" s="18">
        <v>0.12</v>
      </c>
    </row>
    <row r="28" spans="1:4" ht="16.5" thickBot="1" x14ac:dyDescent="0.25">
      <c r="A28" s="23"/>
      <c r="B28" s="78" t="s">
        <v>206</v>
      </c>
      <c r="C28" s="1" t="s">
        <v>115</v>
      </c>
      <c r="D28" s="4">
        <v>0.12</v>
      </c>
    </row>
    <row r="29" spans="1:4" x14ac:dyDescent="0.2">
      <c r="A29" s="23"/>
      <c r="B29" s="52"/>
      <c r="C29" s="1"/>
      <c r="D29" s="2"/>
    </row>
    <row r="30" spans="1:4" ht="13.5" thickBot="1" x14ac:dyDescent="0.25">
      <c r="A30" s="23"/>
      <c r="B30" s="51" t="s">
        <v>42</v>
      </c>
      <c r="C30" s="1"/>
      <c r="D30" s="2"/>
    </row>
    <row r="31" spans="1:4" x14ac:dyDescent="0.2">
      <c r="A31" s="23"/>
      <c r="B31" s="28" t="s">
        <v>43</v>
      </c>
      <c r="C31" s="1"/>
      <c r="D31" s="3">
        <v>1</v>
      </c>
    </row>
    <row r="32" spans="1:4" ht="16.5" thickBot="1" x14ac:dyDescent="0.25">
      <c r="A32" s="23"/>
      <c r="B32" s="28" t="s">
        <v>171</v>
      </c>
      <c r="C32" s="1" t="s">
        <v>44</v>
      </c>
      <c r="D32" s="4">
        <v>9</v>
      </c>
    </row>
    <row r="33" spans="1:4" ht="15.75" x14ac:dyDescent="0.2">
      <c r="A33" s="23"/>
      <c r="B33" s="69" t="s">
        <v>214</v>
      </c>
      <c r="C33" s="1" t="s">
        <v>46</v>
      </c>
      <c r="D33" s="57">
        <f>PI()*D32^2/4</f>
        <v>63.617251235193308</v>
      </c>
    </row>
    <row r="34" spans="1:4" x14ac:dyDescent="0.2">
      <c r="A34" s="23"/>
      <c r="B34" s="28"/>
      <c r="C34" s="1"/>
      <c r="D34" s="58"/>
    </row>
    <row r="35" spans="1:4" ht="13.5" thickBot="1" x14ac:dyDescent="0.25">
      <c r="A35" s="23"/>
      <c r="B35" s="28"/>
      <c r="C35" s="1"/>
      <c r="D35" s="58"/>
    </row>
    <row r="36" spans="1:4" ht="15.75" x14ac:dyDescent="0.2">
      <c r="A36" s="23" t="s">
        <v>47</v>
      </c>
      <c r="B36" s="53" t="s">
        <v>178</v>
      </c>
      <c r="C36" s="10" t="s">
        <v>48</v>
      </c>
      <c r="D36" s="3">
        <v>1.4</v>
      </c>
    </row>
    <row r="37" spans="1:4" ht="26.25" thickBot="1" x14ac:dyDescent="0.25">
      <c r="A37" s="23"/>
      <c r="B37" s="94" t="s">
        <v>151</v>
      </c>
      <c r="C37" s="95" t="s">
        <v>152</v>
      </c>
      <c r="D37" s="17">
        <v>1</v>
      </c>
    </row>
    <row r="38" spans="1:4" x14ac:dyDescent="0.2">
      <c r="A38" s="23"/>
      <c r="B38" s="28"/>
      <c r="C38" s="1"/>
      <c r="D38" s="2"/>
    </row>
    <row r="39" spans="1:4" ht="25.5" x14ac:dyDescent="0.2">
      <c r="A39" s="64"/>
      <c r="B39" s="62" t="s">
        <v>153</v>
      </c>
      <c r="C39" s="10" t="s">
        <v>154</v>
      </c>
      <c r="D39" s="20">
        <f>0.01*D24*D23</f>
        <v>576</v>
      </c>
    </row>
    <row r="40" spans="1:4" ht="15.75" x14ac:dyDescent="0.2">
      <c r="A40" s="56"/>
      <c r="B40" s="28" t="s">
        <v>155</v>
      </c>
      <c r="C40" s="10" t="s">
        <v>156</v>
      </c>
      <c r="D40" s="58">
        <f>IF(AND(D37=1,D31=1),D39/(SQRT(1+3*(2*D15/D17*(0.32*D10/D15+1.16*D27))^2)),IF(AND(D37=1,D31=2),D39/(SQRT(1+3*(2*D15/D32*(0.32*D10/D15+1.16*D27))^2)),IF(D37=2,D39)))</f>
        <v>480.98085745177013</v>
      </c>
    </row>
    <row r="41" spans="1:4" ht="15.75" x14ac:dyDescent="0.2">
      <c r="A41" s="23"/>
      <c r="B41" s="89" t="s">
        <v>157</v>
      </c>
      <c r="C41" s="1" t="s">
        <v>158</v>
      </c>
      <c r="D41" s="81">
        <f>IF(D31=1,D19*D40*10^-3,IF(D31=2,D33*D40*10^-3,0))</f>
        <v>117.74138308966742</v>
      </c>
    </row>
    <row r="42" spans="1:4" ht="13.5" thickBot="1" x14ac:dyDescent="0.25">
      <c r="A42" s="23"/>
      <c r="B42" s="28"/>
      <c r="C42" s="1"/>
      <c r="D42" s="2"/>
    </row>
    <row r="43" spans="1:4" ht="26.25" thickBot="1" x14ac:dyDescent="0.25">
      <c r="A43" s="33" t="s">
        <v>66</v>
      </c>
      <c r="B43" s="62" t="s">
        <v>159</v>
      </c>
      <c r="C43" s="6"/>
      <c r="D43" s="8" t="s">
        <v>245</v>
      </c>
    </row>
    <row r="44" spans="1:4" ht="13.5" thickBot="1" x14ac:dyDescent="0.25">
      <c r="A44" s="23"/>
      <c r="B44" s="28"/>
      <c r="C44" s="1"/>
      <c r="D44" s="102">
        <f>IF(D43="ja",1,IF(D43="nein",2,0))</f>
        <v>1</v>
      </c>
    </row>
    <row r="45" spans="1:4" ht="29.25" thickBot="1" x14ac:dyDescent="0.25">
      <c r="A45" s="33"/>
      <c r="B45" s="62" t="s">
        <v>160</v>
      </c>
      <c r="C45" s="1" t="s">
        <v>161</v>
      </c>
      <c r="D45" s="59">
        <v>86</v>
      </c>
    </row>
    <row r="46" spans="1:4" x14ac:dyDescent="0.2">
      <c r="A46" s="23"/>
      <c r="B46" s="62"/>
      <c r="C46" s="28"/>
      <c r="D46" s="28"/>
    </row>
    <row r="47" spans="1:4" ht="15.75" x14ac:dyDescent="0.2">
      <c r="A47" s="23"/>
      <c r="B47" s="53" t="s">
        <v>162</v>
      </c>
      <c r="C47" s="1" t="s">
        <v>110</v>
      </c>
      <c r="D47" s="85">
        <f>IF(D44=1,D41/D36,IF(D44=2,D45/D36,0))</f>
        <v>84.10098792119102</v>
      </c>
    </row>
    <row r="48" spans="1:4" x14ac:dyDescent="0.2">
      <c r="A48" s="23"/>
      <c r="B48" s="28"/>
      <c r="C48" s="1"/>
      <c r="D48" s="2"/>
    </row>
    <row r="49" spans="1:5" ht="15.75" x14ac:dyDescent="0.2">
      <c r="A49" s="23"/>
      <c r="B49" s="78" t="s">
        <v>116</v>
      </c>
      <c r="C49" s="1" t="s">
        <v>117</v>
      </c>
      <c r="D49" s="58">
        <f>0.25*(D12+D11)</f>
        <v>12.55</v>
      </c>
    </row>
    <row r="50" spans="1:5" ht="15.75" x14ac:dyDescent="0.2">
      <c r="A50" s="23"/>
      <c r="B50" s="89" t="s">
        <v>118</v>
      </c>
      <c r="C50" s="1" t="s">
        <v>119</v>
      </c>
      <c r="D50" s="81">
        <f>IF(D44=1,D41*(0.16*D10+0.58*D27*D15+D28*D49),IF(D44=2,D45*(0.16*D10+0.58*D27*D15+D28*D49),0))</f>
        <v>375.00436476259745</v>
      </c>
    </row>
    <row r="51" spans="1:5" x14ac:dyDescent="0.2">
      <c r="A51" s="23"/>
      <c r="B51" s="28"/>
      <c r="C51" s="1"/>
      <c r="D51" s="2"/>
    </row>
    <row r="52" spans="1:5" x14ac:dyDescent="0.2">
      <c r="A52" s="23"/>
      <c r="B52" s="28"/>
      <c r="C52" s="1"/>
      <c r="D52" s="2"/>
    </row>
    <row r="53" spans="1:5" x14ac:dyDescent="0.2">
      <c r="A53" s="23"/>
      <c r="B53" s="28"/>
      <c r="C53" s="28"/>
      <c r="D53" s="28"/>
    </row>
    <row r="54" spans="1:5" x14ac:dyDescent="0.2">
      <c r="A54" s="23" t="s">
        <v>49</v>
      </c>
      <c r="B54" s="51" t="s">
        <v>53</v>
      </c>
      <c r="C54" s="28"/>
      <c r="D54" s="28"/>
    </row>
    <row r="55" spans="1:5" ht="16.5" thickBot="1" x14ac:dyDescent="0.25">
      <c r="A55" s="23"/>
      <c r="B55" s="28" t="s">
        <v>192</v>
      </c>
      <c r="C55" s="1" t="s">
        <v>186</v>
      </c>
      <c r="D55" s="2">
        <f>D9</f>
        <v>20</v>
      </c>
    </row>
    <row r="56" spans="1:5" ht="16.5" thickBot="1" x14ac:dyDescent="0.25">
      <c r="A56" s="23"/>
      <c r="B56" s="28" t="s">
        <v>193</v>
      </c>
      <c r="C56" s="1" t="s">
        <v>54</v>
      </c>
      <c r="D56" s="59">
        <v>9</v>
      </c>
    </row>
    <row r="57" spans="1:5" ht="16.5" thickBot="1" x14ac:dyDescent="0.25">
      <c r="A57" s="23"/>
      <c r="B57" s="28" t="s">
        <v>194</v>
      </c>
      <c r="C57" s="1" t="s">
        <v>180</v>
      </c>
      <c r="D57" s="55">
        <f>D9-1.22687*D10</f>
        <v>16.932825000000001</v>
      </c>
    </row>
    <row r="58" spans="1:5" ht="15.75" x14ac:dyDescent="0.2">
      <c r="A58" s="23"/>
      <c r="B58" s="28" t="s">
        <v>195</v>
      </c>
      <c r="C58" s="1" t="s">
        <v>55</v>
      </c>
      <c r="D58" s="7">
        <v>23</v>
      </c>
      <c r="E58" s="106" t="s">
        <v>247</v>
      </c>
    </row>
    <row r="59" spans="1:5" ht="15.75" x14ac:dyDescent="0.2">
      <c r="A59" s="23"/>
      <c r="B59" s="28" t="s">
        <v>56</v>
      </c>
      <c r="C59" s="1" t="s">
        <v>57</v>
      </c>
      <c r="D59" s="60">
        <v>20</v>
      </c>
    </row>
    <row r="60" spans="1:5" ht="15.75" x14ac:dyDescent="0.2">
      <c r="A60" s="23"/>
      <c r="B60" s="28" t="s">
        <v>196</v>
      </c>
      <c r="C60" s="1" t="s">
        <v>58</v>
      </c>
      <c r="D60" s="60">
        <v>10</v>
      </c>
      <c r="E60" s="106" t="s">
        <v>248</v>
      </c>
    </row>
    <row r="61" spans="1:5" ht="16.5" thickBot="1" x14ac:dyDescent="0.25">
      <c r="A61" s="23"/>
      <c r="B61" s="28" t="s">
        <v>59</v>
      </c>
      <c r="C61" s="1" t="s">
        <v>60</v>
      </c>
      <c r="D61" s="22">
        <v>35</v>
      </c>
    </row>
    <row r="62" spans="1:5" x14ac:dyDescent="0.2">
      <c r="A62" s="23"/>
      <c r="B62" s="28"/>
      <c r="C62" s="1"/>
      <c r="D62" s="2"/>
    </row>
    <row r="63" spans="1:5" ht="14.1" customHeight="1" x14ac:dyDescent="0.2">
      <c r="A63" s="23"/>
      <c r="B63" s="51" t="s">
        <v>181</v>
      </c>
      <c r="C63" s="1"/>
      <c r="D63" s="2"/>
    </row>
    <row r="64" spans="1:5" ht="16.5" customHeight="1" x14ac:dyDescent="0.2">
      <c r="A64" s="23"/>
      <c r="B64" s="69" t="s">
        <v>215</v>
      </c>
      <c r="C64" s="6" t="s">
        <v>182</v>
      </c>
      <c r="D64" s="2">
        <f>0.4*D9</f>
        <v>8</v>
      </c>
    </row>
    <row r="65" spans="1:5" ht="16.5" customHeight="1" x14ac:dyDescent="0.2">
      <c r="A65" s="23"/>
      <c r="B65" s="69" t="s">
        <v>216</v>
      </c>
      <c r="C65" s="6" t="s">
        <v>183</v>
      </c>
      <c r="D65" s="2">
        <f>0.5*D9</f>
        <v>10</v>
      </c>
    </row>
    <row r="66" spans="1:5" ht="25.5" x14ac:dyDescent="0.2">
      <c r="A66" s="33"/>
      <c r="B66" s="98" t="s">
        <v>231</v>
      </c>
      <c r="C66" s="6" t="s">
        <v>184</v>
      </c>
      <c r="D66" s="2">
        <f>0.4*D9</f>
        <v>8</v>
      </c>
    </row>
    <row r="67" spans="1:5" x14ac:dyDescent="0.2">
      <c r="A67" s="23"/>
      <c r="B67" s="28"/>
      <c r="C67" s="1"/>
      <c r="D67" s="2"/>
    </row>
    <row r="68" spans="1:5" ht="13.5" thickBot="1" x14ac:dyDescent="0.25">
      <c r="A68" s="61"/>
      <c r="B68" s="51" t="s">
        <v>62</v>
      </c>
      <c r="C68" s="1"/>
      <c r="D68" s="2"/>
    </row>
    <row r="69" spans="1:5" ht="15.75" x14ac:dyDescent="0.2">
      <c r="A69" s="23"/>
      <c r="B69" s="28" t="s">
        <v>185</v>
      </c>
      <c r="C69" s="1" t="s">
        <v>63</v>
      </c>
      <c r="D69" s="7">
        <v>175</v>
      </c>
      <c r="E69" s="106" t="s">
        <v>249</v>
      </c>
    </row>
    <row r="70" spans="1:5" ht="16.5" thickBot="1" x14ac:dyDescent="0.25">
      <c r="A70" s="23"/>
      <c r="B70" s="28" t="s">
        <v>64</v>
      </c>
      <c r="C70" s="1" t="s">
        <v>65</v>
      </c>
      <c r="D70" s="22">
        <v>40</v>
      </c>
    </row>
    <row r="71" spans="1:5" ht="13.5" thickBot="1" x14ac:dyDescent="0.25">
      <c r="A71" s="23"/>
      <c r="B71" s="28"/>
      <c r="C71" s="1"/>
      <c r="D71" s="2"/>
    </row>
    <row r="72" spans="1:5" ht="32.1" customHeight="1" thickBot="1" x14ac:dyDescent="0.25">
      <c r="A72" s="33" t="s">
        <v>66</v>
      </c>
      <c r="B72" s="62" t="s">
        <v>67</v>
      </c>
      <c r="C72" s="13"/>
      <c r="D72" s="8" t="s">
        <v>242</v>
      </c>
    </row>
    <row r="73" spans="1:5" s="103" customFormat="1" ht="13.5" thickBot="1" x14ac:dyDescent="0.25">
      <c r="A73" s="23"/>
      <c r="B73" s="28"/>
      <c r="C73" s="1"/>
      <c r="D73" s="102">
        <f>IF(D72="ja",1,IF(D72="nein",2,0))</f>
        <v>2</v>
      </c>
    </row>
    <row r="74" spans="1:5" ht="16.5" thickBot="1" x14ac:dyDescent="0.25">
      <c r="A74" s="33"/>
      <c r="B74" s="62" t="s">
        <v>68</v>
      </c>
      <c r="C74" s="63" t="s">
        <v>69</v>
      </c>
      <c r="D74" s="59" t="s">
        <v>45</v>
      </c>
    </row>
    <row r="75" spans="1:5" x14ac:dyDescent="0.2">
      <c r="A75" s="23"/>
      <c r="B75" s="62"/>
      <c r="C75" s="28"/>
      <c r="D75" s="28"/>
    </row>
    <row r="76" spans="1:5" ht="15.75" x14ac:dyDescent="0.2">
      <c r="A76" s="64"/>
      <c r="B76" s="28" t="s">
        <v>70</v>
      </c>
      <c r="C76" s="1" t="s">
        <v>71</v>
      </c>
      <c r="D76" s="58">
        <f>PI()*D55^2/4</f>
        <v>314.15926535897933</v>
      </c>
    </row>
    <row r="77" spans="1:5" ht="15.75" x14ac:dyDescent="0.2">
      <c r="A77" s="23"/>
      <c r="B77" s="28"/>
      <c r="C77" s="1" t="s">
        <v>72</v>
      </c>
      <c r="D77" s="58">
        <f>PI()*D56^2/4</f>
        <v>63.617251235193308</v>
      </c>
    </row>
    <row r="78" spans="1:5" ht="15.75" x14ac:dyDescent="0.2">
      <c r="A78" s="23"/>
      <c r="B78" s="28"/>
      <c r="C78" s="1" t="s">
        <v>73</v>
      </c>
      <c r="D78" s="58">
        <f>PI()*D57^2/4</f>
        <v>225.18980318056623</v>
      </c>
    </row>
    <row r="79" spans="1:5" ht="15.75" x14ac:dyDescent="0.2">
      <c r="A79" s="23"/>
      <c r="B79" s="65" t="s">
        <v>74</v>
      </c>
      <c r="C79" s="63" t="s">
        <v>75</v>
      </c>
      <c r="D79" s="66">
        <f>IF(D56=0,1/210*(D58/D76+D60/D78+D66/D76)*10^3,1/210*(D58/D76+D59/D77+D60/D78+D66/D76)*10^3)</f>
        <v>2.1783961108480496</v>
      </c>
    </row>
    <row r="80" spans="1:5" ht="15.75" x14ac:dyDescent="0.2">
      <c r="A80" s="61"/>
      <c r="B80" s="52" t="s">
        <v>76</v>
      </c>
      <c r="C80" s="67" t="s">
        <v>77</v>
      </c>
      <c r="D80" s="68">
        <f>D70/D11</f>
        <v>1.4184397163120568</v>
      </c>
    </row>
    <row r="81" spans="1:5" ht="15.75" x14ac:dyDescent="0.2">
      <c r="A81" s="23"/>
      <c r="B81" s="69" t="s">
        <v>78</v>
      </c>
      <c r="C81" s="1" t="s">
        <v>79</v>
      </c>
      <c r="D81" s="68">
        <f>IF(D70&lt;=D11,PI()/4*(D70^2-D12^2),IF(AND(D11&lt;D70,D70&lt;(D11+D61)),PI()/4*(D11^2-D12^2)+PI()/8*D11*(D70-D11)*((D82+1)^2-1),IF(D70&gt;=(D11+D61),PI()/4*(D11^2-D12^2)+PI()/8*D11*D61*((D83+1)^2-1),0)))</f>
        <v>561.61914129245747</v>
      </c>
    </row>
    <row r="82" spans="1:5" ht="15.75" x14ac:dyDescent="0.2">
      <c r="A82" s="23"/>
      <c r="B82" s="69" t="s">
        <v>80</v>
      </c>
      <c r="C82" s="1" t="s">
        <v>81</v>
      </c>
      <c r="D82" s="70">
        <f>POWER((D61*D11/D70^2),1/3)</f>
        <v>0.85126685371398159</v>
      </c>
    </row>
    <row r="83" spans="1:5" ht="15.75" x14ac:dyDescent="0.2">
      <c r="A83" s="23"/>
      <c r="B83" s="69"/>
      <c r="C83" s="1" t="s">
        <v>82</v>
      </c>
      <c r="D83" s="70">
        <f>POWER((D61*D11/(D61+D11)^2),1/3)</f>
        <v>0.62752013492734116</v>
      </c>
    </row>
    <row r="84" spans="1:5" ht="15.75" x14ac:dyDescent="0.2">
      <c r="A84" s="23"/>
      <c r="B84" s="65" t="s">
        <v>83</v>
      </c>
      <c r="C84" s="63" t="s">
        <v>84</v>
      </c>
      <c r="D84" s="66">
        <f>IF(D73=1,D74*D79,IF(D73=2,D61/(D69*D81)*10^3,0))</f>
        <v>0.35611321854119649</v>
      </c>
    </row>
    <row r="85" spans="1:5" x14ac:dyDescent="0.2">
      <c r="A85" s="23"/>
      <c r="B85" s="65"/>
      <c r="C85" s="63"/>
      <c r="D85" s="76"/>
    </row>
    <row r="86" spans="1:5" ht="15.75" x14ac:dyDescent="0.2">
      <c r="A86" s="71"/>
      <c r="B86" s="72" t="s">
        <v>85</v>
      </c>
      <c r="C86" s="1" t="s">
        <v>86</v>
      </c>
      <c r="D86" s="73">
        <f>IF(D44=1,D41*D79*10^-3,IF(D44=2,D45*D79*10^-3,0))</f>
        <v>0.25648737100840185</v>
      </c>
    </row>
    <row r="87" spans="1:5" ht="15.75" x14ac:dyDescent="0.2">
      <c r="A87" s="44"/>
      <c r="B87" s="51" t="s">
        <v>87</v>
      </c>
      <c r="C87" s="10" t="s">
        <v>88</v>
      </c>
      <c r="D87" s="66">
        <f>D84/(D79+D84)</f>
        <v>0.14050578327403945</v>
      </c>
    </row>
    <row r="88" spans="1:5" ht="15.75" x14ac:dyDescent="0.2">
      <c r="A88" s="44"/>
      <c r="B88" s="53"/>
      <c r="C88" s="10"/>
      <c r="D88" s="74"/>
    </row>
    <row r="89" spans="1:5" ht="15.75" x14ac:dyDescent="0.2">
      <c r="A89" s="44"/>
      <c r="B89" s="53"/>
      <c r="C89" s="10"/>
      <c r="D89" s="74"/>
    </row>
    <row r="90" spans="1:5" x14ac:dyDescent="0.2">
      <c r="A90" s="23" t="s">
        <v>52</v>
      </c>
      <c r="B90" s="75" t="s">
        <v>90</v>
      </c>
      <c r="C90" s="40"/>
      <c r="D90" s="40"/>
    </row>
    <row r="91" spans="1:5" ht="16.5" thickBot="1" x14ac:dyDescent="0.25">
      <c r="A91" s="61"/>
      <c r="B91" s="52" t="s">
        <v>91</v>
      </c>
      <c r="C91" s="67" t="s">
        <v>92</v>
      </c>
      <c r="D91" s="68">
        <f>D61/D9</f>
        <v>1.75</v>
      </c>
    </row>
    <row r="92" spans="1:5" ht="16.5" thickBot="1" x14ac:dyDescent="0.25">
      <c r="A92" s="61"/>
      <c r="B92" s="53" t="s">
        <v>172</v>
      </c>
      <c r="C92" s="67" t="s">
        <v>93</v>
      </c>
      <c r="D92" s="59">
        <v>17</v>
      </c>
      <c r="E92" s="26" t="s">
        <v>250</v>
      </c>
    </row>
    <row r="93" spans="1:5" ht="15.75" x14ac:dyDescent="0.2">
      <c r="A93" s="61"/>
      <c r="B93" s="100" t="s">
        <v>232</v>
      </c>
      <c r="C93" s="67" t="s">
        <v>94</v>
      </c>
      <c r="D93" s="66">
        <f>D92*D87/D84</f>
        <v>6.7074126746641642</v>
      </c>
    </row>
    <row r="94" spans="1:5" ht="15.75" x14ac:dyDescent="0.2">
      <c r="A94" s="61"/>
      <c r="B94" s="100" t="s">
        <v>233</v>
      </c>
      <c r="C94" s="67" t="s">
        <v>99</v>
      </c>
      <c r="D94" s="66">
        <f>IF(D43=1,D41-D93,IF(D43=2,D45-D93,0))</f>
        <v>0</v>
      </c>
    </row>
    <row r="95" spans="1:5" ht="15.75" x14ac:dyDescent="0.2">
      <c r="A95" s="61"/>
      <c r="B95" s="52"/>
      <c r="C95" s="67" t="s">
        <v>100</v>
      </c>
      <c r="D95" s="66">
        <f>D47-D93</f>
        <v>77.393575246526851</v>
      </c>
    </row>
    <row r="96" spans="1:5" x14ac:dyDescent="0.2">
      <c r="A96" s="61"/>
      <c r="B96" s="52"/>
      <c r="C96" s="67"/>
      <c r="D96" s="76"/>
    </row>
    <row r="97" spans="1:5" x14ac:dyDescent="0.2">
      <c r="A97" s="61"/>
      <c r="B97" s="52"/>
      <c r="C97" s="67"/>
      <c r="D97" s="76"/>
    </row>
    <row r="98" spans="1:5" ht="13.5" thickBot="1" x14ac:dyDescent="0.25">
      <c r="A98" s="23" t="s">
        <v>89</v>
      </c>
      <c r="B98" s="65" t="s">
        <v>14</v>
      </c>
      <c r="C98" s="67"/>
      <c r="D98" s="76"/>
    </row>
    <row r="99" spans="1:5" ht="16.5" thickBot="1" x14ac:dyDescent="0.25">
      <c r="A99" s="47"/>
      <c r="B99" s="28" t="s">
        <v>15</v>
      </c>
      <c r="C99" s="1" t="s">
        <v>16</v>
      </c>
      <c r="D99" s="108">
        <v>317</v>
      </c>
      <c r="E99" s="107" t="s">
        <v>252</v>
      </c>
    </row>
    <row r="100" spans="1:5" ht="13.5" thickBot="1" x14ac:dyDescent="0.25">
      <c r="A100" s="44"/>
      <c r="B100" s="48" t="s">
        <v>17</v>
      </c>
      <c r="C100" s="21"/>
      <c r="D100" s="2"/>
    </row>
    <row r="101" spans="1:5" ht="15.75" x14ac:dyDescent="0.2">
      <c r="A101" s="44"/>
      <c r="B101" s="49" t="s">
        <v>18</v>
      </c>
      <c r="C101" s="1" t="s">
        <v>19</v>
      </c>
      <c r="D101" s="3" t="s">
        <v>45</v>
      </c>
    </row>
    <row r="102" spans="1:5" ht="16.5" thickBot="1" x14ac:dyDescent="0.25">
      <c r="A102" s="44"/>
      <c r="B102" s="49" t="s">
        <v>20</v>
      </c>
      <c r="C102" s="1" t="s">
        <v>21</v>
      </c>
      <c r="D102" s="4" t="s">
        <v>45</v>
      </c>
    </row>
    <row r="103" spans="1:5" x14ac:dyDescent="0.2">
      <c r="A103" s="44"/>
      <c r="B103" s="49"/>
      <c r="C103" s="1"/>
      <c r="D103" s="2"/>
    </row>
    <row r="104" spans="1:5" ht="16.5" thickBot="1" x14ac:dyDescent="0.25">
      <c r="A104" s="23"/>
      <c r="B104" s="51" t="s">
        <v>163</v>
      </c>
      <c r="C104" s="28"/>
      <c r="D104" s="28"/>
    </row>
    <row r="105" spans="1:5" ht="13.5" thickBot="1" x14ac:dyDescent="0.25">
      <c r="A105" s="23"/>
      <c r="B105" s="96" t="s">
        <v>198</v>
      </c>
      <c r="C105" s="67" t="s">
        <v>98</v>
      </c>
      <c r="D105" s="14">
        <v>0.5</v>
      </c>
    </row>
    <row r="106" spans="1:5" ht="13.5" thickBot="1" x14ac:dyDescent="0.25">
      <c r="A106" s="61"/>
      <c r="B106" s="52"/>
      <c r="C106" s="67"/>
      <c r="D106" s="76"/>
    </row>
    <row r="107" spans="1:5" ht="26.25" thickBot="1" x14ac:dyDescent="0.25">
      <c r="A107" s="97"/>
      <c r="B107" s="52" t="s">
        <v>50</v>
      </c>
      <c r="C107" s="1" t="s">
        <v>51</v>
      </c>
      <c r="D107" s="8">
        <v>0.2</v>
      </c>
      <c r="E107" s="107" t="s">
        <v>251</v>
      </c>
    </row>
    <row r="108" spans="1:5" x14ac:dyDescent="0.2">
      <c r="A108" s="44"/>
      <c r="B108" s="77"/>
      <c r="C108" s="21"/>
      <c r="D108" s="2"/>
    </row>
    <row r="109" spans="1:5" x14ac:dyDescent="0.2">
      <c r="A109" s="23" t="s">
        <v>95</v>
      </c>
      <c r="B109" s="51" t="s">
        <v>164</v>
      </c>
      <c r="C109" s="67"/>
      <c r="D109" s="74"/>
    </row>
    <row r="110" spans="1:5" x14ac:dyDescent="0.2">
      <c r="A110" s="23"/>
      <c r="B110" s="80" t="s">
        <v>97</v>
      </c>
      <c r="C110" s="67" t="s">
        <v>98</v>
      </c>
      <c r="D110" s="83">
        <f>D105</f>
        <v>0.5</v>
      </c>
    </row>
    <row r="111" spans="1:5" ht="15.75" x14ac:dyDescent="0.2">
      <c r="A111" s="23"/>
      <c r="B111" s="99" t="s">
        <v>236</v>
      </c>
      <c r="C111" s="67" t="s">
        <v>101</v>
      </c>
      <c r="D111" s="79">
        <f>D110*D87*D99</f>
        <v>22.270166648935252</v>
      </c>
    </row>
    <row r="112" spans="1:5" ht="15.75" x14ac:dyDescent="0.2">
      <c r="A112" s="23"/>
      <c r="B112" s="99" t="s">
        <v>235</v>
      </c>
      <c r="C112" s="67" t="s">
        <v>102</v>
      </c>
      <c r="D112" s="79">
        <f>D99-D111</f>
        <v>294.72983335106477</v>
      </c>
    </row>
    <row r="113" spans="1:5" ht="15.75" x14ac:dyDescent="0.2">
      <c r="A113" s="23"/>
      <c r="B113" s="99" t="s">
        <v>234</v>
      </c>
      <c r="C113" s="67" t="s">
        <v>103</v>
      </c>
      <c r="D113" s="79">
        <f>D94+D111</f>
        <v>22.270166648935252</v>
      </c>
    </row>
    <row r="114" spans="1:5" ht="15.75" x14ac:dyDescent="0.2">
      <c r="A114" s="23"/>
      <c r="B114" s="78"/>
      <c r="C114" s="67" t="s">
        <v>104</v>
      </c>
      <c r="D114" s="58">
        <f>D95+D111</f>
        <v>99.663741895462095</v>
      </c>
    </row>
    <row r="115" spans="1:5" ht="15.75" x14ac:dyDescent="0.2">
      <c r="A115" s="23"/>
      <c r="B115" s="80" t="s">
        <v>222</v>
      </c>
      <c r="C115" s="1" t="s">
        <v>105</v>
      </c>
      <c r="D115" s="81">
        <f>D114-D99</f>
        <v>-217.3362581045379</v>
      </c>
    </row>
    <row r="116" spans="1:5" ht="15.75" x14ac:dyDescent="0.2">
      <c r="A116" s="23"/>
      <c r="B116" s="80" t="s">
        <v>106</v>
      </c>
      <c r="C116" s="1" t="s">
        <v>51</v>
      </c>
      <c r="D116" s="82">
        <f>D107</f>
        <v>0.2</v>
      </c>
    </row>
    <row r="117" spans="1:5" ht="13.5" thickBot="1" x14ac:dyDescent="0.25">
      <c r="A117" s="23"/>
      <c r="B117" s="80"/>
      <c r="C117" s="1"/>
      <c r="D117" s="83"/>
    </row>
    <row r="118" spans="1:5" ht="45" thickBot="1" x14ac:dyDescent="0.25">
      <c r="A118" s="56"/>
      <c r="B118" s="104" t="s">
        <v>243</v>
      </c>
      <c r="C118" s="13"/>
      <c r="D118" s="105" t="s">
        <v>246</v>
      </c>
    </row>
    <row r="119" spans="1:5" s="103" customFormat="1" x14ac:dyDescent="0.2">
      <c r="A119" s="23"/>
      <c r="B119" s="28"/>
      <c r="C119" s="1"/>
      <c r="D119" s="102">
        <f>IF(D118="erforderliche Klemmkraft",1,IF(D118="errechnete Klemmkraft",2,0))</f>
        <v>2</v>
      </c>
    </row>
    <row r="120" spans="1:5" ht="15.75" x14ac:dyDescent="0.2">
      <c r="A120" s="23"/>
      <c r="B120" s="51" t="s">
        <v>165</v>
      </c>
      <c r="C120" s="1" t="s">
        <v>108</v>
      </c>
      <c r="D120" s="84">
        <f>IF(D119=1,D36*(D107+D112+D93),IF(D119=2,D36*(D115+D112+D93),0))</f>
        <v>117.74138308966744</v>
      </c>
    </row>
    <row r="121" spans="1:5" x14ac:dyDescent="0.2">
      <c r="A121" s="23"/>
      <c r="B121" s="51"/>
      <c r="C121" s="67"/>
      <c r="D121" s="74"/>
    </row>
    <row r="122" spans="1:5" x14ac:dyDescent="0.2">
      <c r="A122" s="23"/>
      <c r="B122" s="51"/>
      <c r="C122" s="67"/>
      <c r="D122" s="74"/>
    </row>
    <row r="123" spans="1:5" x14ac:dyDescent="0.2">
      <c r="A123" s="23" t="s">
        <v>113</v>
      </c>
      <c r="B123" s="51" t="s">
        <v>114</v>
      </c>
      <c r="C123" s="67"/>
      <c r="D123" s="74"/>
    </row>
    <row r="124" spans="1:5" ht="15.75" x14ac:dyDescent="0.2">
      <c r="A124" s="23"/>
      <c r="B124" s="52" t="s">
        <v>202</v>
      </c>
      <c r="C124" s="1" t="s">
        <v>27</v>
      </c>
      <c r="D124" s="2">
        <f>D27</f>
        <v>0.12</v>
      </c>
    </row>
    <row r="125" spans="1:5" ht="15.75" x14ac:dyDescent="0.2">
      <c r="A125" s="23"/>
      <c r="B125" s="78" t="s">
        <v>203</v>
      </c>
      <c r="C125" s="1" t="s">
        <v>115</v>
      </c>
      <c r="D125" s="2">
        <f>D28</f>
        <v>0.12</v>
      </c>
    </row>
    <row r="126" spans="1:5" ht="15.75" x14ac:dyDescent="0.2">
      <c r="A126" s="23"/>
      <c r="B126" s="78" t="s">
        <v>116</v>
      </c>
      <c r="C126" s="1" t="s">
        <v>117</v>
      </c>
      <c r="D126" s="58">
        <f>0.25*(D11+D12)</f>
        <v>12.55</v>
      </c>
    </row>
    <row r="127" spans="1:5" ht="16.5" thickBot="1" x14ac:dyDescent="0.25">
      <c r="A127" s="23"/>
      <c r="B127" s="89" t="s">
        <v>118</v>
      </c>
      <c r="C127" s="1" t="s">
        <v>119</v>
      </c>
      <c r="D127" s="81">
        <f>D120*(0.16*D10+0.58*D124*D15+D125*D126)</f>
        <v>375.0043647625975</v>
      </c>
    </row>
    <row r="128" spans="1:5" ht="16.5" thickBot="1" x14ac:dyDescent="0.25">
      <c r="A128" s="23"/>
      <c r="B128" s="78" t="s">
        <v>173</v>
      </c>
      <c r="C128" s="1" t="s">
        <v>120</v>
      </c>
      <c r="D128" s="14">
        <v>280</v>
      </c>
      <c r="E128" s="107" t="s">
        <v>248</v>
      </c>
    </row>
    <row r="129" spans="1:4" ht="25.5" x14ac:dyDescent="0.2">
      <c r="A129" s="33" t="s">
        <v>61</v>
      </c>
      <c r="B129" s="86" t="s">
        <v>174</v>
      </c>
      <c r="C129" s="67"/>
      <c r="D129" s="74"/>
    </row>
    <row r="130" spans="1:4" x14ac:dyDescent="0.2">
      <c r="A130" s="23"/>
      <c r="B130" s="51"/>
      <c r="C130" s="67"/>
      <c r="D130" s="74"/>
    </row>
    <row r="131" spans="1:4" x14ac:dyDescent="0.2">
      <c r="A131" s="23"/>
      <c r="B131" s="51"/>
      <c r="C131" s="67"/>
      <c r="D131" s="74"/>
    </row>
    <row r="132" spans="1:4" x14ac:dyDescent="0.2">
      <c r="A132" s="23" t="s">
        <v>121</v>
      </c>
      <c r="B132" s="51" t="s">
        <v>122</v>
      </c>
      <c r="C132" s="67"/>
      <c r="D132" s="74"/>
    </row>
    <row r="133" spans="1:4" x14ac:dyDescent="0.2">
      <c r="A133" s="56"/>
      <c r="B133" s="72"/>
      <c r="C133" s="1"/>
      <c r="D133" s="90"/>
    </row>
    <row r="134" spans="1:4" ht="15.75" x14ac:dyDescent="0.2">
      <c r="A134" s="56"/>
      <c r="B134" s="51" t="s">
        <v>123</v>
      </c>
      <c r="C134" s="10" t="s">
        <v>124</v>
      </c>
      <c r="D134" s="81">
        <f>IF(D31=1,D111*10^3/D19,IF(D31=2,D111*10^3/D33,0))</f>
        <v>90.975012942061298</v>
      </c>
    </row>
    <row r="135" spans="1:4" ht="30" x14ac:dyDescent="0.2">
      <c r="A135" s="33" t="s">
        <v>125</v>
      </c>
      <c r="B135" s="86" t="s">
        <v>126</v>
      </c>
      <c r="C135" s="6" t="s">
        <v>127</v>
      </c>
      <c r="D135" s="9">
        <f>0.1*D23</f>
        <v>64</v>
      </c>
    </row>
    <row r="136" spans="1:4" x14ac:dyDescent="0.2">
      <c r="A136" s="33"/>
      <c r="B136" s="86"/>
      <c r="C136" s="1"/>
      <c r="D136" s="9"/>
    </row>
    <row r="137" spans="1:4" ht="15.75" x14ac:dyDescent="0.2">
      <c r="A137" s="33"/>
      <c r="B137" s="51" t="s">
        <v>128</v>
      </c>
      <c r="C137" s="10" t="s">
        <v>129</v>
      </c>
      <c r="D137" s="81" t="e">
        <f>D138/D19</f>
        <v>#VALUE!</v>
      </c>
    </row>
    <row r="138" spans="1:4" ht="15.75" x14ac:dyDescent="0.2">
      <c r="A138" s="33"/>
      <c r="B138" s="53" t="s">
        <v>130</v>
      </c>
      <c r="C138" s="67" t="s">
        <v>131</v>
      </c>
      <c r="D138" s="58" t="e">
        <f>0.5*D110*D87*(D101-D102)*10^3</f>
        <v>#VALUE!</v>
      </c>
    </row>
    <row r="139" spans="1:4" ht="16.5" thickBot="1" x14ac:dyDescent="0.25">
      <c r="A139" s="33"/>
      <c r="B139" s="53" t="s">
        <v>166</v>
      </c>
      <c r="C139" s="67" t="s">
        <v>167</v>
      </c>
      <c r="D139" s="58" t="e">
        <f>D113-D138*10^-3</f>
        <v>#VALUE!</v>
      </c>
    </row>
    <row r="140" spans="1:4" ht="16.5" thickBot="1" x14ac:dyDescent="0.25">
      <c r="A140" s="91"/>
      <c r="B140" s="28" t="s">
        <v>175</v>
      </c>
      <c r="C140" s="10" t="s">
        <v>132</v>
      </c>
      <c r="D140" s="11">
        <v>40</v>
      </c>
    </row>
    <row r="141" spans="1:4" ht="15.75" x14ac:dyDescent="0.2">
      <c r="A141" s="33" t="s">
        <v>133</v>
      </c>
      <c r="B141" s="28" t="s">
        <v>134</v>
      </c>
      <c r="C141" s="10" t="s">
        <v>135</v>
      </c>
      <c r="D141" s="92">
        <f>0.9*D140</f>
        <v>36</v>
      </c>
    </row>
    <row r="142" spans="1:4" ht="15.75" x14ac:dyDescent="0.2">
      <c r="A142" s="42"/>
      <c r="B142" s="53"/>
      <c r="C142" s="10"/>
      <c r="D142" s="9"/>
    </row>
    <row r="143" spans="1:4" ht="16.5" thickBot="1" x14ac:dyDescent="0.25">
      <c r="A143" s="42"/>
      <c r="B143" s="51" t="s">
        <v>136</v>
      </c>
      <c r="C143" s="10"/>
      <c r="D143" s="9"/>
    </row>
    <row r="144" spans="1:4" ht="13.5" thickBot="1" x14ac:dyDescent="0.25">
      <c r="A144" s="42"/>
      <c r="B144" s="28" t="s">
        <v>137</v>
      </c>
      <c r="C144" s="1" t="s">
        <v>138</v>
      </c>
      <c r="D144" s="11">
        <v>0.3</v>
      </c>
    </row>
    <row r="145" spans="1:4" ht="13.5" thickBot="1" x14ac:dyDescent="0.25">
      <c r="A145" s="23"/>
      <c r="B145" s="80"/>
      <c r="C145" s="1"/>
      <c r="D145" s="83"/>
    </row>
    <row r="146" spans="1:4" ht="45" thickBot="1" x14ac:dyDescent="0.25">
      <c r="A146" s="56"/>
      <c r="B146" s="104" t="s">
        <v>243</v>
      </c>
      <c r="C146" s="13"/>
      <c r="D146" s="105" t="s">
        <v>246</v>
      </c>
    </row>
    <row r="147" spans="1:4" s="103" customFormat="1" x14ac:dyDescent="0.2">
      <c r="A147" s="23"/>
      <c r="B147" s="28"/>
      <c r="C147" s="1"/>
      <c r="D147" s="102">
        <f>IF(D146="erforderliche Klemmkraft",1,IF(D146="errechnete Klemmkraft",2,0))</f>
        <v>2</v>
      </c>
    </row>
    <row r="148" spans="1:4" ht="15.75" x14ac:dyDescent="0.2">
      <c r="A148" s="23"/>
      <c r="B148" s="51" t="s">
        <v>165</v>
      </c>
      <c r="C148" s="1" t="s">
        <v>108</v>
      </c>
      <c r="D148" s="84">
        <f>IF(D147=1,D36*(D107+D112+D93),IF(D147=2,D36*(D115+D112+D93),0))</f>
        <v>117.74138308966744</v>
      </c>
    </row>
    <row r="149" spans="1:4" ht="15.75" x14ac:dyDescent="0.2">
      <c r="A149" s="42"/>
      <c r="B149" s="69" t="s">
        <v>237</v>
      </c>
      <c r="C149" s="67" t="s">
        <v>139</v>
      </c>
      <c r="D149" s="70">
        <f>D148-D93</f>
        <v>111.03397041500327</v>
      </c>
    </row>
    <row r="150" spans="1:4" ht="15.75" x14ac:dyDescent="0.2">
      <c r="A150" s="42"/>
      <c r="B150" s="69" t="s">
        <v>238</v>
      </c>
      <c r="C150" s="67" t="s">
        <v>140</v>
      </c>
      <c r="D150" s="70">
        <f>D149+D111</f>
        <v>133.30413706393853</v>
      </c>
    </row>
    <row r="151" spans="1:4" ht="15.75" x14ac:dyDescent="0.2">
      <c r="A151" s="42"/>
      <c r="B151" s="69" t="s">
        <v>239</v>
      </c>
      <c r="C151" s="1" t="s">
        <v>141</v>
      </c>
      <c r="D151" s="9">
        <f>(D11^2-(D12+2*D144)^2)*PI()/4</f>
        <v>223.43006952330606</v>
      </c>
    </row>
    <row r="152" spans="1:4" ht="16.5" thickBot="1" x14ac:dyDescent="0.25">
      <c r="A152" s="42"/>
      <c r="B152" s="53" t="s">
        <v>142</v>
      </c>
      <c r="C152" s="1" t="s">
        <v>143</v>
      </c>
      <c r="D152" s="81">
        <f>D150*10^3/D151</f>
        <v>596.62576907551613</v>
      </c>
    </row>
    <row r="153" spans="1:4" ht="16.5" thickBot="1" x14ac:dyDescent="0.25">
      <c r="A153" s="33" t="s">
        <v>144</v>
      </c>
      <c r="B153" s="28" t="s">
        <v>200</v>
      </c>
      <c r="C153" s="1" t="s">
        <v>145</v>
      </c>
      <c r="D153" s="11">
        <v>500</v>
      </c>
    </row>
    <row r="154" spans="1:4" x14ac:dyDescent="0.2">
      <c r="A154" s="44"/>
      <c r="B154" s="40"/>
      <c r="C154" s="40"/>
      <c r="D154" s="40"/>
    </row>
    <row r="155" spans="1:4" x14ac:dyDescent="0.2">
      <c r="A155" s="44"/>
      <c r="B155" s="40"/>
      <c r="C155" s="40"/>
      <c r="D155" s="40"/>
    </row>
    <row r="156" spans="1:4" ht="63.75" x14ac:dyDescent="0.2">
      <c r="A156" s="42" t="s">
        <v>146</v>
      </c>
      <c r="B156" s="93" t="s">
        <v>147</v>
      </c>
      <c r="C156" s="40"/>
      <c r="D156" s="40"/>
    </row>
  </sheetData>
  <phoneticPr fontId="0" type="noConversion"/>
  <dataValidations count="2">
    <dataValidation type="list" allowBlank="1" showInputMessage="1" showErrorMessage="1" sqref="D43 D72" xr:uid="{00000000-0002-0000-0200-000000000000}">
      <formula1>"ja,nein"</formula1>
    </dataValidation>
    <dataValidation type="list" allowBlank="1" showInputMessage="1" showErrorMessage="1" sqref="D118 D146" xr:uid="{00000000-0002-0000-0200-000001000000}">
      <formula1>"erforderliche Klemmkraft,errechnete Klemmkraft"</formula1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>
    <oddHeader>&amp;C&amp;F</oddHeader>
    <oddFooter>&amp;CSeite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autoFill="0" autoLine="0" autoPict="0" macro="[0]!zurück_1">
                <anchor moveWithCells="1" sizeWithCells="1">
                  <from>
                    <xdr:col>3</xdr:col>
                    <xdr:colOff>28575</xdr:colOff>
                    <xdr:row>3</xdr:row>
                    <xdr:rowOff>28575</xdr:rowOff>
                  </from>
                  <to>
                    <xdr:col>3</xdr:col>
                    <xdr:colOff>762000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autoFill="0" autoLine="0" autoPict="0" macro="[0]!zurück_1">
                <anchor moveWithCells="1" sizeWithCells="1">
                  <from>
                    <xdr:col>3</xdr:col>
                    <xdr:colOff>28575</xdr:colOff>
                    <xdr:row>155</xdr:row>
                    <xdr:rowOff>28575</xdr:rowOff>
                  </from>
                  <to>
                    <xdr:col>3</xdr:col>
                    <xdr:colOff>762000</xdr:colOff>
                    <xdr:row>155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10-schra100</vt:lpstr>
      <vt:lpstr>10-schra1</vt:lpstr>
      <vt:lpstr>10-schra2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Herr Moehler</dc:creator>
  <cp:lastModifiedBy>Anika Langohr</cp:lastModifiedBy>
  <cp:lastPrinted>2017-10-06T14:29:55Z</cp:lastPrinted>
  <dcterms:created xsi:type="dcterms:W3CDTF">2015-07-11T14:56:38Z</dcterms:created>
  <dcterms:modified xsi:type="dcterms:W3CDTF">2020-01-16T16:49:46Z</dcterms:modified>
</cp:coreProperties>
</file>